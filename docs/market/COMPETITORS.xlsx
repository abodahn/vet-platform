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All competitors" sheetId="2" state="visible" r:id="rId4"/>
    <sheet name="Pricing in EGP" sheetId="3" state="visible" r:id="rId5"/>
    <sheet name="Feature matrix" sheetId="4" state="visible" r:id="rId6"/>
  </sheets>
  <definedNames>
    <definedName function="false" hidden="true" localSheetId="1" name="_xlnm._FilterDatabase" vbProcedure="false">'All competitors'!$A$4:$L$37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<sst xmlns="http://schemas.openxmlformats.org/spreadsheetml/2006/main" count="673" uniqueCount="308">
  <si>
    <t xml:space="preserve">Aleefy - Competitive Landscape</t>
  </si>
  <si>
    <t xml:space="preserve">Built from docs/market/01_COMPETITORS.md. Research date 2026-07-28, by web search in English and Arabic.</t>
  </si>
  <si>
    <t xml:space="preserve">How to read the confidence column</t>
  </si>
  <si>
    <t xml:space="preserve">Vendor-published</t>
  </si>
  <si>
    <t xml:space="preserve">The number appears on the vendor's own site. Highest confidence.</t>
  </si>
  <si>
    <t xml:space="preserve">Third-party</t>
  </si>
  <si>
    <t xml:space="preserve">From Capterra / GetApp / press. Aggregator pricing is often stale or mis-labelled.</t>
  </si>
  <si>
    <t xml:space="preserve">Not disclosed</t>
  </si>
  <si>
    <t xml:space="preserve">The vendor's pricing page contains no numbers. This is a FINDING, not a gap - of 15 global products, only 3 publish a real price.</t>
  </si>
  <si>
    <t xml:space="preserve">UNVERIFIED</t>
  </si>
  <si>
    <t xml:space="preserve">Inferred, or from a snippet that could not be opened. Treat as a lead, not a fact.</t>
  </si>
  <si>
    <t xml:space="preserve">Hostile source</t>
  </si>
  <si>
    <t xml:space="preserve">The only figure available came from a competitor's marketing. Unusable.</t>
  </si>
  <si>
    <t xml:space="preserve">What the research actually concluded</t>
  </si>
  <si>
    <t xml:space="preserve">The Arabic vet niche is NOT empty.</t>
  </si>
  <si>
    <t xml:space="preserve">VetICare ships Arabic with RTL, names four Egyptian clinics as customers, has run since 2020, and publishes $52/month. Four of the six things listed as Aleefy's advantages are already shipped by an incumbent - plus two things Aleefy lacks: lab-machine integration and a pet-owner mobile app.</t>
  </si>
  <si>
    <t xml:space="preserve">RTL is not a moat.</t>
  </si>
  <si>
    <t xml:space="preserve">Provet Cloud already ships Hebrew among 16 locales, so its RTL plumbing exists. Adding Arabic would be a translation project, not an engineering one.</t>
  </si>
  <si>
    <t xml:space="preserve">On-premise is not a wedge.</t>
  </si>
  <si>
    <t xml:space="preserve">Four other products self-host: Cornerstone, AVImark, ezVetPro and OpenVPMS. It is a feature Aleefy shares, not one that distinguishes it.</t>
  </si>
  <si>
    <t xml:space="preserve">Nobody supports Arabic among the global fifteen.</t>
  </si>
  <si>
    <t xml:space="preserve">Arabic support was found zero times across all T1 products. That part of the thesis holds.</t>
  </si>
  <si>
    <t xml:space="preserve">The real competitor is paper.</t>
  </si>
  <si>
    <t xml:space="preserve">A clinic costs ~60,000 EGP to open; a consultation grosses ~150 EGP. ezyVet's entry price is 88 consultations a month before the vet earns anything. Even VetICare is 17.5.</t>
  </si>
  <si>
    <t xml:space="preserve">The price ceiling is set by the market, not the software.</t>
  </si>
  <si>
    <t xml:space="preserve">Egyptian pharmacy software: 5,000-12,000 EGP perpetual, or 500-1,500 EGP/month. Daftra: 489-1,960 EGP/month. Aleefy at 7,000 EGP once or 600 EGP/month sits inside both bands.</t>
  </si>
  <si>
    <t xml:space="preserve">Every row in 'All competitors' carries the URL its claims came from. Where a cell says Not disclosed, that is what the vendor publishes - it is not a gap in the research.</t>
  </si>
  <si>
    <t xml:space="preserve">All competitors and substitutes</t>
  </si>
  <si>
    <t xml:space="preserve">Sorted by threat. Filter on any column. Aleefy's own row is shaded and is not research - it is what you have.</t>
  </si>
  <si>
    <t xml:space="preserve">Product</t>
  </si>
  <si>
    <t xml:space="preserve">Tier</t>
  </si>
  <si>
    <t xml:space="preserve">Owner / origin</t>
  </si>
  <si>
    <t xml:space="preserve">Published price</t>
  </si>
  <si>
    <t xml:space="preserve">Pricing model</t>
  </si>
  <si>
    <t xml:space="preserve">Confidence</t>
  </si>
  <si>
    <t xml:space="preserve">Arabic / RTL</t>
  </si>
  <si>
    <t xml:space="preserve">On-premise</t>
  </si>
  <si>
    <t xml:space="preserve">MENA presence</t>
  </si>
  <si>
    <t xml:space="preserve">Threat</t>
  </si>
  <si>
    <t xml:space="preserve">What matters about it</t>
  </si>
  <si>
    <t xml:space="preserve">Source</t>
  </si>
  <si>
    <t xml:space="preserve">Aleefy (you)</t>
  </si>
  <si>
    <t xml:space="preserve">-</t>
  </si>
  <si>
    <t xml:space="preserve">Egypt</t>
  </si>
  <si>
    <t xml:space="preserve">7,000 EGP once, or 600 EGP/mo</t>
  </si>
  <si>
    <t xml:space="preserve">Licence or subscription</t>
  </si>
  <si>
    <t xml:space="preserve">Own product</t>
  </si>
  <si>
    <t xml:space="preserve">Yes - complete, incl. PDFs</t>
  </si>
  <si>
    <t xml:space="preserve">Yes</t>
  </si>
  <si>
    <t xml:space="preserve">413 screens, 34 modules, 2,218 automated tests. Arabic complete including inside generated PDFs, which is where competing systems break. Covers grooming, boarding, payroll and pet-shop retail, which no competitor in this sheet covers together.</t>
  </si>
  <si>
    <t xml:space="preserve">Paper, Excel and WhatsApp</t>
  </si>
  <si>
    <t xml:space="preserve">Substitute</t>
  </si>
  <si>
    <t xml:space="preserve">Free</t>
  </si>
  <si>
    <t xml:space="preserve">Observed</t>
  </si>
  <si>
    <t xml:space="preserve">Everywhere</t>
  </si>
  <si>
    <t xml:space="preserve">CRITICAL</t>
  </si>
  <si>
    <t xml:space="preserve">THE REAL INCUMBENT. No study of software adoption in Egyptian veterinary practice exists. What does exist: a clinic costs ~60,000 EGP to open and a consultation grosses ~150 EGP. A Gulf buyer specified a system feature-for-feature like Aleefy on Mostaql and expected to pay $1,000-$2,500 ONCE, forever. Thirty developers competed for it.</t>
  </si>
  <si>
    <t xml:space="preserve">VetICare</t>
  </si>
  <si>
    <t xml:space="preserve">Regional (Arabic)</t>
  </si>
  <si>
    <t xml:space="preserve">$52/mo for 5 users</t>
  </si>
  <si>
    <t xml:space="preserve">Flat (5 users)</t>
  </si>
  <si>
    <t xml:space="preserve">Yes - explicit RTL</t>
  </si>
  <si>
    <t xml:space="preserve">No</t>
  </si>
  <si>
    <t xml:space="preserve">OPERATING IN EGYPT</t>
  </si>
  <si>
    <t xml:space="preserve">Names Egyptian clinics as customers: Pets Zone, Dr Men3am Pet Hospital, Almotawakkel Pet Center, Mojo Veterinary. Since 2020, claims 500+ clients. Ships pharmacy, lab with Exigo/Edan analyser integration, inventory, POS, boarding, HR, WhatsApp (+$20/mo), ZATCA e-invoicing, and a pet-owner mobile app with AI triage. No grooming, no telemedicine.</t>
  </si>
  <si>
    <t xml:space="preserve">https://veticareapp.com/price</t>
  </si>
  <si>
    <t xml:space="preserve">Odoo vet modules</t>
  </si>
  <si>
    <t xml:space="preserve">BrowseInfo (India) et al.</t>
  </si>
  <si>
    <t xml:space="preserve">$272.20 one-time</t>
  </si>
  <si>
    <t xml:space="preserve">One-time</t>
  </si>
  <si>
    <t xml:space="preserve">Yes - Odoo core is Arabic + RTL</t>
  </si>
  <si>
    <t xml:space="preserve">Egyptian partners exist</t>
  </si>
  <si>
    <t xml:space="preserve">HIGH</t>
  </si>
  <si>
    <t xml:space="preserve">A $272 module on a platform that already has Arabic, RTL, accounting, inventory, POS and HR, with Egyptian implementation partners (Macrofix, OEC-EG). A clinic can get ~70% of Aleefy tomorrow with an ERP vendor's support contract behind it.</t>
  </si>
  <si>
    <t xml:space="preserve">https://apps.odoo.com/apps/modules/13.0/bi_veterinary_management</t>
  </si>
  <si>
    <t xml:space="preserve">bAItari.vet</t>
  </si>
  <si>
    <t xml:space="preserve">Oman</t>
  </si>
  <si>
    <t xml:space="preserve">Arabic-primary</t>
  </si>
  <si>
    <t xml:space="preserve">Gulf</t>
  </si>
  <si>
    <t xml:space="preserve">Arabic-FIRST vet platform with AI documentation and annotated imaging. Tagline: 'the digital future of veterinary medicine in the Arab world' - the exact positioning Aleefy wants. Live signup.</t>
  </si>
  <si>
    <t xml:space="preserve">https://baitari.vet/</t>
  </si>
  <si>
    <t xml:space="preserve">Al-Mukhtabarat</t>
  </si>
  <si>
    <t xml:space="preserve">EGYPT - Giza</t>
  </si>
  <si>
    <t xml:space="preserve">Arabic + English</t>
  </si>
  <si>
    <t xml:space="preserve">Not stated</t>
  </si>
  <si>
    <t xml:space="preserve">EGYPT</t>
  </si>
  <si>
    <t xml:space="preserve">MEDIUM</t>
  </si>
  <si>
    <t xml:space="preserve">The one genuinely Egyptian vet-adjacent vendor found. Vet lab + clinic system with barcode and medical-device result capture, WhatsApp result delivery, multi-branch stock transfer. Lab-led, but overlaps Aleefy's lab and clinical modules directly.</t>
  </si>
  <si>
    <t xml:space="preserve">https://almukhtabarat.com/</t>
  </si>
  <si>
    <t xml:space="preserve">Daftra</t>
  </si>
  <si>
    <t xml:space="preserve">Regional, Egypt phone line</t>
  </si>
  <si>
    <t xml:space="preserve">489.50-1,960 EGP/mo</t>
  </si>
  <si>
    <t xml:space="preserve">Tiered EGP</t>
  </si>
  <si>
    <t xml:space="preserve">Egypt, KSA, UAE, Jordan, Oman, Qatar</t>
  </si>
  <si>
    <t xml:space="preserve">PRICES IN EGP, publicly. Basic 489.50, Advanced 977.58, Comprehensive 1,960 EGP/mo. No veterinary module - a vet buying this misuses a human clinic system. Sets the price expectation an Egyptian clinic arrives with.</t>
  </si>
  <si>
    <t xml:space="preserve">https://www.daftra.com/plans/</t>
  </si>
  <si>
    <t xml:space="preserve">Hippo Manager</t>
  </si>
  <si>
    <t xml:space="preserve">Global</t>
  </si>
  <si>
    <t xml:space="preserve">US (Lexington KY)</t>
  </si>
  <si>
    <t xml:space="preserve">$119/mo per FT vet, unlimited other seats</t>
  </si>
  <si>
    <t xml:space="preserve">Per vet</t>
  </si>
  <si>
    <t xml:space="preserve">Third-party (most transparent)</t>
  </si>
  <si>
    <t xml:space="preserve">No evidence</t>
  </si>
  <si>
    <t xml:space="preserve">The ONLY priced product in Capterra's UAE directory</t>
  </si>
  <si>
    <t xml:space="preserve">Capterra's UAE veterinary directory lists 25 products and shows a price for exactly one - this. Migration $1,750 one-time.</t>
  </si>
  <si>
    <t xml:space="preserve">https://www.capterra.ae/directory/30617/veterinary/software</t>
  </si>
  <si>
    <t xml:space="preserve">Kawakeb Al-Teknologia</t>
  </si>
  <si>
    <t xml:space="preserve">Saudi Arabia</t>
  </si>
  <si>
    <t xml:space="preserve">Arabic</t>
  </si>
  <si>
    <t xml:space="preserve">Yes - web or LAN</t>
  </si>
  <si>
    <t xml:space="preserve">Vet clinic module: records, appointments, radiology, lab, pharmacy, accounting, RBAC, vaccination tracking, WhatsApp. Runs on an internal network, so the on-premise story is not unique to Aleefy.</t>
  </si>
  <si>
    <t xml:space="preserve">https://www.const-tech.org/public/products/5</t>
  </si>
  <si>
    <t xml:space="preserve">Medicakare</t>
  </si>
  <si>
    <t xml:space="preserve">Riyadh, CAIRO, Dubai, London</t>
  </si>
  <si>
    <t xml:space="preserve">Free tier for one clinic</t>
  </si>
  <si>
    <t xml:space="preserve">Freemium</t>
  </si>
  <si>
    <t xml:space="preserve">Egypt office</t>
  </si>
  <si>
    <t xml:space="preserve">A free tier, with a Cairo office. No veterinary module - human specialties only - but free is a hard price to argue against.</t>
  </si>
  <si>
    <t xml:space="preserve">https://www.medicakare.com/ar/</t>
  </si>
  <si>
    <t xml:space="preserve">OpenVPMS</t>
  </si>
  <si>
    <t xml:space="preserve">Not-for-profit (AU)</t>
  </si>
  <si>
    <t xml:space="preserve">A$450 + GST per FTE vet/year</t>
  </si>
  <si>
    <t xml:space="preserve">Per vet per year</t>
  </si>
  <si>
    <t xml:space="preserve">Not documented (UNVERIFIED)</t>
  </si>
  <si>
    <t xml:space="preserve">Yes - Tomcat + MySQL self-hosted</t>
  </si>
  <si>
    <t xml:space="preserve">None</t>
  </si>
  <si>
    <t xml:space="preserve">OPEN SOURCE. Self-install for testing costs nothing. A$450/FTE-vet/year is roughly $24/mo equivalent - by far the cheapest credible option, and genuinely self-hostable.</t>
  </si>
  <si>
    <t xml:space="preserve">https://openvpms.org/</t>
  </si>
  <si>
    <t xml:space="preserve">Provet Cloud</t>
  </si>
  <si>
    <t xml:space="preserve">Nordhealth (NO/FI)</t>
  </si>
  <si>
    <t xml:space="preserve">$99/vet/mo (Core)</t>
  </si>
  <si>
    <t xml:space="preserve">No - but ships HEBREW</t>
  </si>
  <si>
    <t xml:space="preserve">None confirmed</t>
  </si>
  <si>
    <t xml:space="preserve">THE MOST IMPORTANT LINE IN THE GLOBAL TIER. Provet already ships Hebrew among 16 locales, which means RTL is already solved in its codebase. Arabic would be a translation project, not an engineering one. RTL is not the moat it looks like. Its per-vet, free-other-seats model is also the most Egypt-compatible of the Western majors.</t>
  </si>
  <si>
    <t xml:space="preserve">https://www.capterra.co.uk/software/137569/provet-cloud</t>
  </si>
  <si>
    <t xml:space="preserve">VETport</t>
  </si>
  <si>
    <t xml:space="preserve">US (Ohio), est. 2002</t>
  </si>
  <si>
    <t xml:space="preserve">$229/mo usage-based</t>
  </si>
  <si>
    <t xml:space="preserve">Usage-based</t>
  </si>
  <si>
    <t xml:space="preserve">No - EN/FR/DE</t>
  </si>
  <si>
    <t xml:space="preserve">India office; UAE in country list</t>
  </si>
  <si>
    <t xml:space="preserve">Second-closest global vendor to MENA: 37 countries claimed, a real India office, UAE in its dropdown. Its pricing page is a calculator that renders $0 and funnels to 'Get a Quote'.</t>
  </si>
  <si>
    <t xml:space="preserve">https://www.vetport.com/pricing</t>
  </si>
  <si>
    <t xml:space="preserve">Yolo Clinic</t>
  </si>
  <si>
    <t xml:space="preserve">UAE</t>
  </si>
  <si>
    <t xml:space="preserve">UAE, markets into Egypt</t>
  </si>
  <si>
    <t xml:space="preserve">Vet line plus a human-medical line. Android/iOS/Huawei apps. ZATCA tax reporting. Appears in Egypt-facing Arabic search results.</t>
  </si>
  <si>
    <t xml:space="preserve">https://yolo.clinic/ar/</t>
  </si>
  <si>
    <t xml:space="preserve">ClinicGateway</t>
  </si>
  <si>
    <t xml:space="preserve">Saudi/UAE</t>
  </si>
  <si>
    <t xml:space="preserve">From 2,500 SAR/mo</t>
  </si>
  <si>
    <t xml:space="preserve">Tiered</t>
  </si>
  <si>
    <t xml:space="preserve">Full Arabic + RTL + Hijri</t>
  </si>
  <si>
    <t xml:space="preserve">LOW</t>
  </si>
  <si>
    <t xml:space="preserve">No veterinary anywhere on the site. Useful as a Gulf price anchor: it benchmarks Kareo at 2,800+ and enterprise systems at 8,000-15,000 SAR/mo.</t>
  </si>
  <si>
    <t xml:space="preserve">https://clinicgateway.ae/</t>
  </si>
  <si>
    <t xml:space="preserve">Covetrus AVImark</t>
  </si>
  <si>
    <t xml:space="preserve">Covetrus</t>
  </si>
  <si>
    <t xml:space="preserve">Yes - real Windows server</t>
  </si>
  <si>
    <t xml:space="preserve">Documented Windows server install, peer-to-peer capped at nine thick clients. A legacy product its owner is migrating customers off.</t>
  </si>
  <si>
    <t xml:space="preserve">https://covetrus.com/</t>
  </si>
  <si>
    <t xml:space="preserve">Covetrus Impromed</t>
  </si>
  <si>
    <t xml:space="preserve">$5,000 one-time</t>
  </si>
  <si>
    <t xml:space="preserve">Legacy on-prem</t>
  </si>
  <si>
    <t xml:space="preserve">Legacy perpetual licence.</t>
  </si>
  <si>
    <t xml:space="preserve">Covetrus Pulse</t>
  </si>
  <si>
    <t xml:space="preserve">EMEA unit exists (product is Ascend)</t>
  </si>
  <si>
    <t xml:space="preserve">Covetrus is the closest any global vendor gets to MENA - it runs a 'UK, Europe, Middle East and Africa' unit. But no Arabic and no confirmed Arab-country deployment.</t>
  </si>
  <si>
    <t xml:space="preserve">https://software.covetrus.com/emea/</t>
  </si>
  <si>
    <t xml:space="preserve">Digitail</t>
  </si>
  <si>
    <t xml:space="preserve">Independent (RO/US)</t>
  </si>
  <si>
    <t xml:space="preserve">$289/user/mo</t>
  </si>
  <si>
    <t xml:space="preserve">Per user</t>
  </si>
  <si>
    <t xml:space="preserve">Third-party + vendor blog</t>
  </si>
  <si>
    <t xml:space="preserve">No (UNVERIFIED)</t>
  </si>
  <si>
    <t xml:space="preserve">Pricing page displays no numbers.</t>
  </si>
  <si>
    <t xml:space="preserve">https://www.capterra.com/</t>
  </si>
  <si>
    <t xml:space="preserve">Fekra IT</t>
  </si>
  <si>
    <t xml:space="preserve">Al-Madinah, Saudi Arabia</t>
  </si>
  <si>
    <t xml:space="preserve">Yes - Windows desktop</t>
  </si>
  <si>
    <t xml:space="preserve">Windows desktop, on-premise, works with NO INTERNET. The offline model Aleefy assumes is what regional buyers already recognise and expect.</t>
  </si>
  <si>
    <t xml:space="preserve">https://fekrait.com/</t>
  </si>
  <si>
    <t xml:space="preserve">GVET</t>
  </si>
  <si>
    <t xml:space="preserve">Latin America</t>
  </si>
  <si>
    <t xml:space="preserve">Not disclosed (3-month trial)</t>
  </si>
  <si>
    <t xml:space="preserve">Lists Arabic</t>
  </si>
  <si>
    <t xml:space="preserve">Arabic is a translation checkbox, not a market focus. Low threat today - but proof that adding Arabic is cheap for an existing product.</t>
  </si>
  <si>
    <t xml:space="preserve">https://www.gvetsoft.com/en/</t>
  </si>
  <si>
    <t xml:space="preserve">Holool Alghad</t>
  </si>
  <si>
    <t xml:space="preserve">Riyadh, Saudi Arabia</t>
  </si>
  <si>
    <t xml:space="preserve">Vet clinic system: appointments, records, inventory, purchasing, SMS, financial analysis, device integration.</t>
  </si>
  <si>
    <t xml:space="preserve">https://holoolalghad.com/veterinary-clinic</t>
  </si>
  <si>
    <t xml:space="preserve">IDEXX Animana</t>
  </si>
  <si>
    <t xml:space="preserve">IDEXX (acq. 2014)</t>
  </si>
  <si>
    <t xml:space="preserve">No - Dutch/English/German</t>
  </si>
  <si>
    <t xml:space="preserve">Doubtful</t>
  </si>
  <si>
    <t xml:space="preserve">NL/DE/UK only</t>
  </si>
  <si>
    <t xml:space="preserve">Europe-only footprint.</t>
  </si>
  <si>
    <t xml:space="preserve">https://www.idexx.com/</t>
  </si>
  <si>
    <t xml:space="preserve">IDEXX Cornerstone</t>
  </si>
  <si>
    <t xml:space="preserve">IDEXX</t>
  </si>
  <si>
    <t xml:space="preserve">$549/mo (also cited $420, $399)</t>
  </si>
  <si>
    <t xml:space="preserve">Per practice</t>
  </si>
  <si>
    <t xml:space="preserve">Third-party, wide spread</t>
  </si>
  <si>
    <t xml:space="preserve">Yes - officially documented</t>
  </si>
  <si>
    <t xml:space="preserve">None found</t>
  </si>
  <si>
    <t xml:space="preserve">Genuinely on-premise, and IDEXX is actively migrating customers off it.</t>
  </si>
  <si>
    <t xml:space="preserve">IDEXX Neo</t>
  </si>
  <si>
    <t xml:space="preserve">$290/mo + $2,375 setup + $590 conversion</t>
  </si>
  <si>
    <t xml:space="preserve">Flat + setup</t>
  </si>
  <si>
    <t xml:space="preserve">Setup and data conversion nearly triple the first-year cost.</t>
  </si>
  <si>
    <t xml:space="preserve">Nitco</t>
  </si>
  <si>
    <t xml:space="preserve">Publishes no prices</t>
  </si>
  <si>
    <t xml:space="preserve">Publishes an article titled 'clinic management software prices in Egypt' that contains no prices. Emblematic of the market's opacity.</t>
  </si>
  <si>
    <t xml:space="preserve">https://nitcotek.com/</t>
  </si>
  <si>
    <t xml:space="preserve">Petsphere (2t Interactive)</t>
  </si>
  <si>
    <t xml:space="preserve">Lebanon</t>
  </si>
  <si>
    <t xml:space="preserve">Not found</t>
  </si>
  <si>
    <t xml:space="preserve">Reported Arabic-Lebanese RTL</t>
  </si>
  <si>
    <t xml:space="preserve">Levant</t>
  </si>
  <si>
    <t xml:space="preserve">UNVERIFIED - the site returned 404 when fetched; details come from the search index only. Dual currency USD/LBP.</t>
  </si>
  <si>
    <t xml:space="preserve">https://2tinteractive.com/solutions/petsphere/</t>
  </si>
  <si>
    <t xml:space="preserve">Shepherd</t>
  </si>
  <si>
    <t xml:space="preserve">Independent (US)</t>
  </si>
  <si>
    <t xml:space="preserve">$299/mo first vet + $99/additional</t>
  </si>
  <si>
    <t xml:space="preserve">Third-party (4 sources)</t>
  </si>
  <si>
    <t xml:space="preserve">No (anti-server positioning)</t>
  </si>
  <si>
    <t xml:space="preserve">Explicitly positions against on-premise servers.</t>
  </si>
  <si>
    <t xml:space="preserve">Veterical</t>
  </si>
  <si>
    <t xml:space="preserve">Gamma Investments LLC</t>
  </si>
  <si>
    <t xml:space="preserve">App free, no pricing</t>
  </si>
  <si>
    <t xml:space="preserve">Listed among 33 languages</t>
  </si>
  <si>
    <t xml:space="preserve">Unclear</t>
  </si>
  <si>
    <t xml:space="preserve">Thin web presence. Arabic appears in the App Store language list; RTL quality unverified.</t>
  </si>
  <si>
    <t xml:space="preserve">https://apps.apple.com/us/app/id6736607434</t>
  </si>
  <si>
    <t xml:space="preserve">Vetspire</t>
  </si>
  <si>
    <t xml:space="preserve">US (Palo Alto)</t>
  </si>
  <si>
    <t xml:space="preserve">Hostile source only</t>
  </si>
  <si>
    <t xml:space="preserve">The '$349/DVM/mo' figure circulating comes from two COMPETITORS' blogs - treat as hostile and unusable.</t>
  </si>
  <si>
    <t xml:space="preserve">https://www.vetspire.com/</t>
  </si>
  <si>
    <t xml:space="preserve">ezVetPro</t>
  </si>
  <si>
    <t xml:space="preserve">ezofficesystems Ltd (UK)</t>
  </si>
  <si>
    <t xml:space="preserve">Unusable</t>
  </si>
  <si>
    <t xml:space="preserve">No - English only</t>
  </si>
  <si>
    <t xml:space="preserve">Yes - on-prem or hosted</t>
  </si>
  <si>
    <t xml:space="preserve">GetApp shows '$600' with no unit and no period. Unusable as a data point.</t>
  </si>
  <si>
    <t xml:space="preserve">https://www.getapp.com/</t>
  </si>
  <si>
    <t xml:space="preserve">ezyVet</t>
  </si>
  <si>
    <t xml:space="preserve">IDEXX (acq. Jun 2021)</t>
  </si>
  <si>
    <t xml:space="preserve">$260.50/mo</t>
  </si>
  <si>
    <t xml:space="preserve">Flat or per-user (disputed)</t>
  </si>
  <si>
    <t xml:space="preserve">The only major publishing a price on its own site. Vendor says per month; Capterra and GetApp both render it as per user per month. Unresolved - if the aggregators are right, a 6-seat Egyptian clinic pays ~79,000 EGP/mo.</t>
  </si>
  <si>
    <t xml:space="preserve">https://www.ezyvet.com/pricing/us</t>
  </si>
  <si>
    <t xml:space="preserve">vetPMS Cloud (Advitech)</t>
  </si>
  <si>
    <t xml:space="preserve">Reseller: Dubai</t>
  </si>
  <si>
    <t xml:space="preserve">Arabic not mentioned</t>
  </si>
  <si>
    <t xml:space="preserve">UAE/Qatar/Kuwait/Saudi/Oman</t>
  </si>
  <si>
    <t xml:space="preserve">Shows the actual MENA channel model: a local medical-equipment distributor reselling a foreign PIMS. This is how software reaches Gulf clinics - through distributors, not direct sales.</t>
  </si>
  <si>
    <t xml:space="preserve">https://medicalplus.ae/product/vetpms-cloud-veterinary-practice-management-software/</t>
  </si>
  <si>
    <t xml:space="preserve">What each system costs an Egyptian clinic</t>
  </si>
  <si>
    <t xml:space="preserve">Change the three yellow cells and every figure below re-prices. Only products with a published price appear here.</t>
  </si>
  <si>
    <t xml:space="preserve">EGP per USD</t>
  </si>
  <si>
    <t xml:space="preserve">2026 average. Source: exchange-rates.org</t>
  </si>
  <si>
    <t xml:space="preserve">Vets in the clinic</t>
  </si>
  <si>
    <t xml:space="preserve">Drives the per-vet products</t>
  </si>
  <si>
    <t xml:space="preserve">Consultation fee (EGP)</t>
  </si>
  <si>
    <t xml:space="preserve">Used for the last column. Source: small-projects.org [UNVERIFIED]</t>
  </si>
  <si>
    <t xml:space="preserve">USD / month</t>
  </si>
  <si>
    <t xml:space="preserve">EGP / month</t>
  </si>
  <si>
    <t xml:space="preserve">Consultations to cover it</t>
  </si>
  <si>
    <t xml:space="preserve">Aleefy - subscription</t>
  </si>
  <si>
    <t xml:space="preserve">600 EGP/mo, unlimited users</t>
  </si>
  <si>
    <t xml:space="preserve">Flat</t>
  </si>
  <si>
    <t xml:space="preserve">Aleefy - licence</t>
  </si>
  <si>
    <t xml:space="preserve">7,000 EGP once + 1,800/yr from month 7</t>
  </si>
  <si>
    <t xml:space="preserve">One-time + renewal</t>
  </si>
  <si>
    <t xml:space="preserve">The last column is the point. At a 150 EGP consultation, ezyVet costs a small clinic dozens of consultations a month before the vet earns anything. That is the ceiling on what any vet software can charge in Egypt - it is set by the market, not by what the software is worth.</t>
  </si>
  <si>
    <t xml:space="preserve">Aleefy against the systems that actually compete in Egypt</t>
  </si>
  <si>
    <t xml:space="preserve">Only products with enough published detail to judge. A blank means not documented either way - not proof of absence.</t>
  </si>
  <si>
    <t xml:space="preserve">Capability</t>
  </si>
  <si>
    <t xml:space="preserve">Aleefy</t>
  </si>
  <si>
    <t xml:space="preserve">Odoo vet</t>
  </si>
  <si>
    <t xml:space="preserve">Arabic interface</t>
  </si>
  <si>
    <t xml:space="preserve">Right-to-left layout</t>
  </si>
  <si>
    <t xml:space="preserve">Hebrew only</t>
  </si>
  <si>
    <t xml:space="preserve">Arabic inside generated PDFs</t>
  </si>
  <si>
    <t xml:space="preserve">Runs without internet / on-premise</t>
  </si>
  <si>
    <t xml:space="preserve">Clinical records</t>
  </si>
  <si>
    <t xml:space="preserve">Pharmacy and dispensing</t>
  </si>
  <si>
    <t xml:space="preserve">Laboratory</t>
  </si>
  <si>
    <t xml:space="preserve">Lab-machine integration</t>
  </si>
  <si>
    <t xml:space="preserve">Inventory with batch and expiry</t>
  </si>
  <si>
    <t xml:space="preserve">Procurement and suppliers</t>
  </si>
  <si>
    <t xml:space="preserve">Invoicing</t>
  </si>
  <si>
    <t xml:space="preserve">Accounting (P&amp;L, cash flow)</t>
  </si>
  <si>
    <t xml:space="preserve">HR and attendance</t>
  </si>
  <si>
    <t xml:space="preserve">Payroll</t>
  </si>
  <si>
    <t xml:space="preserve">Pet shop / retail POS</t>
  </si>
  <si>
    <t xml:space="preserve">Grooming</t>
  </si>
  <si>
    <t xml:space="preserve">Boarding</t>
  </si>
  <si>
    <t xml:space="preserve">Telemedicine</t>
  </si>
  <si>
    <t xml:space="preserve">WhatsApp messaging</t>
  </si>
  <si>
    <t xml:space="preserve">Yes (+$20/mo)</t>
  </si>
  <si>
    <t xml:space="preserve">Pet-owner mobile app</t>
  </si>
  <si>
    <t xml:space="preserve">AI triage / documentation</t>
  </si>
  <si>
    <t xml:space="preserve">Multi-branch</t>
  </si>
  <si>
    <t xml:space="preserve">Paying customers in Egypt</t>
  </si>
  <si>
    <t xml:space="preserve">The last two rows are the ones to sit with. Aleefy covers more than anything else here - and is the only column with 'No' against paying customers in Egypt. Breadth is not the bottleneck; proof is.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</si>
</sst>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#,##0.0;\(#,##0.0\);\-"/>
    <numFmt numFmtId="167" formatCode="#,##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D2B24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1"/>
      <color rgb="FF0D2B24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i val="true"/>
      <sz val="9"/>
      <color rgb="FF5B716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6B5C"/>
        <bgColor rgb="FF008080"/>
      </patternFill>
    </fill>
    <fill>
      <patternFill patternType="solid">
        <fgColor rgb="FFE8F3EF"/>
        <bgColor rgb="FFFDECEA"/>
      </patternFill>
    </fill>
    <fill>
      <patternFill patternType="solid">
        <fgColor rgb="FFFDECEA"/>
        <bgColor rgb="FFE8F3E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2DF"/>
      </left>
      <right style="thin">
        <color rgb="FFD9E2DF"/>
      </right>
      <top style="thin">
        <color rgb="FFD9E2DF"/>
      </top>
      <bottom style="thin">
        <color rgb="FFD9E2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6B5C"/>
          <bgColor rgb="FF000000"/>
        </patternFill>
      </fill>
    </dxf>
    <dxf>
      <fill>
        <patternFill patternType="solid">
          <fgColor rgb="FFE8F3EF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6B5C"/>
      <rgbColor rgb="FFC0C0C0"/>
      <rgbColor rgb="FF808080"/>
      <rgbColor rgb="FF9999FF"/>
      <rgbColor rgb="FF993366"/>
      <rgbColor rgb="FFFDECEA"/>
      <rgbColor rgb="FFE8F3EF"/>
      <rgbColor rgb="FF660066"/>
      <rgbColor rgb="FFFF8080"/>
      <rgbColor rgb="FF0066CC"/>
      <rgbColor rgb="FFD9E2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7169"/>
      <rgbColor rgb="FF969696"/>
      <rgbColor rgb="FF003366"/>
      <rgbColor rgb="FF339966"/>
      <rgbColor rgb="FF0D2B24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veticareapp.com/price" TargetMode="External"/><Relationship Id="rId2" Type="http://schemas.openxmlformats.org/officeDocument/2006/relationships/hyperlink" Target="https://apps.odoo.com/apps/modules/13.0/bi_veterinary_management" TargetMode="External"/><Relationship Id="rId3" Type="http://schemas.openxmlformats.org/officeDocument/2006/relationships/hyperlink" Target="https://baitari.vet/" TargetMode="External"/><Relationship Id="rId4" Type="http://schemas.openxmlformats.org/officeDocument/2006/relationships/hyperlink" Target="https://almukhtabarat.com/" TargetMode="External"/><Relationship Id="rId5" Type="http://schemas.openxmlformats.org/officeDocument/2006/relationships/hyperlink" Target="https://www.daftra.com/plans/" TargetMode="External"/><Relationship Id="rId6" Type="http://schemas.openxmlformats.org/officeDocument/2006/relationships/hyperlink" Target="https://www.capterra.ae/directory/30617/veterinary/software" TargetMode="External"/><Relationship Id="rId7" Type="http://schemas.openxmlformats.org/officeDocument/2006/relationships/hyperlink" Target="https://www.const-tech.org/public/products/5" TargetMode="External"/><Relationship Id="rId8" Type="http://schemas.openxmlformats.org/officeDocument/2006/relationships/hyperlink" Target="https://www.medicakare.com/ar/" TargetMode="External"/><Relationship Id="rId9" Type="http://schemas.openxmlformats.org/officeDocument/2006/relationships/hyperlink" Target="https://openvpms.org/" TargetMode="External"/><Relationship Id="rId10" Type="http://schemas.openxmlformats.org/officeDocument/2006/relationships/hyperlink" Target="https://www.capterra.co.uk/software/137569/provet-cloud" TargetMode="External"/><Relationship Id="rId11" Type="http://schemas.openxmlformats.org/officeDocument/2006/relationships/hyperlink" Target="https://www.vetport.com/pricing" TargetMode="External"/><Relationship Id="rId12" Type="http://schemas.openxmlformats.org/officeDocument/2006/relationships/hyperlink" Target="https://yolo.clinic/ar/" TargetMode="External"/><Relationship Id="rId13" Type="http://schemas.openxmlformats.org/officeDocument/2006/relationships/hyperlink" Target="https://clinicgateway.ae/" TargetMode="External"/><Relationship Id="rId14" Type="http://schemas.openxmlformats.org/officeDocument/2006/relationships/hyperlink" Target="https://covetrus.com/" TargetMode="External"/><Relationship Id="rId15" Type="http://schemas.openxmlformats.org/officeDocument/2006/relationships/hyperlink" Target="https://covetrus.com/" TargetMode="External"/><Relationship Id="rId16" Type="http://schemas.openxmlformats.org/officeDocument/2006/relationships/hyperlink" Target="https://software.covetrus.com/emea/" TargetMode="External"/><Relationship Id="rId17" Type="http://schemas.openxmlformats.org/officeDocument/2006/relationships/hyperlink" Target="https://www.capterra.com/" TargetMode="External"/><Relationship Id="rId18" Type="http://schemas.openxmlformats.org/officeDocument/2006/relationships/hyperlink" Target="https://fekrait.com/" TargetMode="External"/><Relationship Id="rId19" Type="http://schemas.openxmlformats.org/officeDocument/2006/relationships/hyperlink" Target="https://www.gvetsoft.com/en/" TargetMode="External"/><Relationship Id="rId20" Type="http://schemas.openxmlformats.org/officeDocument/2006/relationships/hyperlink" Target="https://holoolalghad.com/veterinary-clinic" TargetMode="External"/><Relationship Id="rId21" Type="http://schemas.openxmlformats.org/officeDocument/2006/relationships/hyperlink" Target="https://www.idexx.com/" TargetMode="External"/><Relationship Id="rId22" Type="http://schemas.openxmlformats.org/officeDocument/2006/relationships/hyperlink" Target="https://www.idexx.com/" TargetMode="External"/><Relationship Id="rId23" Type="http://schemas.openxmlformats.org/officeDocument/2006/relationships/hyperlink" Target="https://www.capterra.com/" TargetMode="External"/><Relationship Id="rId24" Type="http://schemas.openxmlformats.org/officeDocument/2006/relationships/hyperlink" Target="https://nitcotek.com/" TargetMode="External"/><Relationship Id="rId25" Type="http://schemas.openxmlformats.org/officeDocument/2006/relationships/hyperlink" Target="https://2tinteractive.com/solutions/petsphere/" TargetMode="External"/><Relationship Id="rId26" Type="http://schemas.openxmlformats.org/officeDocument/2006/relationships/hyperlink" Target="https://www.capterra.com/" TargetMode="External"/><Relationship Id="rId27" Type="http://schemas.openxmlformats.org/officeDocument/2006/relationships/hyperlink" Target="https://apps.apple.com/us/app/id6736607434" TargetMode="External"/><Relationship Id="rId28" Type="http://schemas.openxmlformats.org/officeDocument/2006/relationships/hyperlink" Target="https://www.vetspire.com/" TargetMode="External"/><Relationship Id="rId29" Type="http://schemas.openxmlformats.org/officeDocument/2006/relationships/hyperlink" Target="https://www.getapp.com/" TargetMode="External"/><Relationship Id="rId30" Type="http://schemas.openxmlformats.org/officeDocument/2006/relationships/hyperlink" Target="https://www.ezyvet.com/pricing/us" TargetMode="External"/><Relationship Id="rId31" Type="http://schemas.openxmlformats.org/officeDocument/2006/relationships/hyperlink" Target="https://medicalplus.ae/product/vetpms-cloud-veterinary-practice-management-software/" TargetMode="External"/><Relationship Id="rId3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4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 t="s">
        <v>11</v>
      </c>
      <c r="B9" s="5" t="s">
        <v>12</v>
      </c>
    </row>
    <row r="11" customFormat="false" ht="15" hidden="false" customHeight="false" outlineLevel="0" collapsed="false">
      <c r="A11" s="3" t="s">
        <v>13</v>
      </c>
    </row>
    <row r="12" customFormat="false" ht="45.75" hidden="false" customHeight="true" outlineLevel="0" collapsed="false">
      <c r="A12" s="6" t="s">
        <v>14</v>
      </c>
      <c r="B12" s="5" t="s">
        <v>15</v>
      </c>
    </row>
    <row r="13" customFormat="false" ht="45.75" hidden="false" customHeight="true" outlineLevel="0" collapsed="false">
      <c r="A13" s="6" t="s">
        <v>16</v>
      </c>
      <c r="B13" s="5" t="s">
        <v>17</v>
      </c>
    </row>
    <row r="14" customFormat="false" ht="45.75" hidden="false" customHeight="true" outlineLevel="0" collapsed="false">
      <c r="A14" s="6" t="s">
        <v>18</v>
      </c>
      <c r="B14" s="5" t="s">
        <v>19</v>
      </c>
    </row>
    <row r="15" customFormat="false" ht="45.75" hidden="false" customHeight="true" outlineLevel="0" collapsed="false">
      <c r="A15" s="6" t="s">
        <v>20</v>
      </c>
      <c r="B15" s="5" t="s">
        <v>21</v>
      </c>
    </row>
    <row r="16" customFormat="false" ht="45.75" hidden="false" customHeight="true" outlineLevel="0" collapsed="false">
      <c r="A16" s="6" t="s">
        <v>22</v>
      </c>
      <c r="B16" s="5" t="s">
        <v>23</v>
      </c>
    </row>
    <row r="17" customFormat="false" ht="45.75" hidden="false" customHeight="true" outlineLevel="0" collapsed="false">
      <c r="A17" s="6" t="s">
        <v>24</v>
      </c>
      <c r="B17" s="5" t="s">
        <v>25</v>
      </c>
    </row>
    <row r="19" customFormat="false" ht="15" hidden="false" customHeight="false" outlineLevel="0" collapsed="false">
      <c r="A19" s="7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6" min="5" style="0" width="22"/>
    <col collapsed="false" customWidth="true" hidden="false" outlineLevel="0" max="7" min="7" style="0" width="26"/>
    <col collapsed="false" customWidth="true" hidden="false" outlineLevel="0" max="8" min="8" style="0" width="22"/>
    <col collapsed="false" customWidth="true" hidden="false" outlineLevel="0" max="9" min="9" style="0" width="30"/>
    <col collapsed="false" customWidth="true" hidden="false" outlineLevel="0" max="10" min="10" style="0" width="10"/>
    <col collapsed="false" customWidth="true" hidden="false" outlineLevel="0" max="11" min="11" style="0" width="78"/>
    <col collapsed="false" customWidth="true" hidden="false" outlineLevel="0" max="12" min="12" style="0" width="44"/>
  </cols>
  <sheetData>
    <row r="1" customFormat="false" ht="18.55" hidden="false" customHeight="false" outlineLevel="0" collapsed="false">
      <c r="A1" s="1" t="s">
        <v>27</v>
      </c>
    </row>
    <row r="2" customFormat="false" ht="15" hidden="false" customHeight="false" outlineLevel="0" collapsed="false">
      <c r="A2" s="7" t="s">
        <v>28</v>
      </c>
    </row>
    <row r="4" customFormat="false" ht="30" hidden="false" customHeight="true" outlineLevel="0" collapsed="false">
      <c r="A4" s="8" t="s">
        <v>29</v>
      </c>
      <c r="B4" s="8" t="s">
        <v>30</v>
      </c>
      <c r="C4" s="8" t="s">
        <v>31</v>
      </c>
      <c r="D4" s="8" t="s">
        <v>32</v>
      </c>
      <c r="E4" s="8" t="s">
        <v>33</v>
      </c>
      <c r="F4" s="8" t="s">
        <v>34</v>
      </c>
      <c r="G4" s="8" t="s">
        <v>35</v>
      </c>
      <c r="H4" s="8" t="s">
        <v>36</v>
      </c>
      <c r="I4" s="8" t="s">
        <v>37</v>
      </c>
      <c r="J4" s="8" t="s">
        <v>38</v>
      </c>
      <c r="K4" s="8" t="s">
        <v>39</v>
      </c>
      <c r="L4" s="8" t="s">
        <v>40</v>
      </c>
    </row>
    <row r="5" customFormat="false" ht="57.75" hidden="false" customHeight="true" outlineLevel="0" collapsed="false">
      <c r="A5" s="9" t="s">
        <v>41</v>
      </c>
      <c r="B5" s="10" t="s">
        <v>42</v>
      </c>
      <c r="C5" s="10" t="s">
        <v>43</v>
      </c>
      <c r="D5" s="10" t="s">
        <v>44</v>
      </c>
      <c r="E5" s="10" t="s">
        <v>45</v>
      </c>
      <c r="F5" s="10" t="s">
        <v>46</v>
      </c>
      <c r="G5" s="10" t="s">
        <v>47</v>
      </c>
      <c r="H5" s="10" t="s">
        <v>48</v>
      </c>
      <c r="I5" s="10" t="s">
        <v>43</v>
      </c>
      <c r="J5" s="10" t="s">
        <v>42</v>
      </c>
      <c r="K5" s="10" t="s">
        <v>49</v>
      </c>
      <c r="L5" s="10" t="s">
        <v>42</v>
      </c>
    </row>
    <row r="6" customFormat="false" ht="57.75" hidden="false" customHeight="true" outlineLevel="0" collapsed="false">
      <c r="A6" s="11" t="s">
        <v>50</v>
      </c>
      <c r="B6" s="12" t="s">
        <v>51</v>
      </c>
      <c r="C6" s="12" t="s">
        <v>42</v>
      </c>
      <c r="D6" s="12" t="s">
        <v>52</v>
      </c>
      <c r="E6" s="12" t="s">
        <v>52</v>
      </c>
      <c r="F6" s="12" t="s">
        <v>53</v>
      </c>
      <c r="G6" s="12" t="s">
        <v>48</v>
      </c>
      <c r="H6" s="12" t="s">
        <v>48</v>
      </c>
      <c r="I6" s="12" t="s">
        <v>54</v>
      </c>
      <c r="J6" s="12" t="s">
        <v>55</v>
      </c>
      <c r="K6" s="12" t="s">
        <v>56</v>
      </c>
      <c r="L6" s="12" t="s">
        <v>42</v>
      </c>
    </row>
    <row r="7" customFormat="false" ht="57.75" hidden="false" customHeight="true" outlineLevel="0" collapsed="false">
      <c r="A7" s="11" t="s">
        <v>57</v>
      </c>
      <c r="B7" s="12" t="s">
        <v>58</v>
      </c>
      <c r="C7" s="12" t="s">
        <v>7</v>
      </c>
      <c r="D7" s="12" t="s">
        <v>59</v>
      </c>
      <c r="E7" s="12" t="s">
        <v>60</v>
      </c>
      <c r="F7" s="12" t="s">
        <v>3</v>
      </c>
      <c r="G7" s="12" t="s">
        <v>61</v>
      </c>
      <c r="H7" s="12" t="s">
        <v>62</v>
      </c>
      <c r="I7" s="12" t="s">
        <v>63</v>
      </c>
      <c r="J7" s="12" t="s">
        <v>55</v>
      </c>
      <c r="K7" s="12" t="s">
        <v>64</v>
      </c>
      <c r="L7" s="13" t="s">
        <v>65</v>
      </c>
    </row>
    <row r="8" customFormat="false" ht="57.75" hidden="false" customHeight="true" outlineLevel="0" collapsed="false">
      <c r="A8" s="14" t="s">
        <v>66</v>
      </c>
      <c r="B8" s="15" t="s">
        <v>51</v>
      </c>
      <c r="C8" s="15" t="s">
        <v>67</v>
      </c>
      <c r="D8" s="15" t="s">
        <v>68</v>
      </c>
      <c r="E8" s="15" t="s">
        <v>69</v>
      </c>
      <c r="F8" s="15" t="s">
        <v>3</v>
      </c>
      <c r="G8" s="15" t="s">
        <v>70</v>
      </c>
      <c r="H8" s="15" t="s">
        <v>48</v>
      </c>
      <c r="I8" s="15" t="s">
        <v>71</v>
      </c>
      <c r="J8" s="15" t="s">
        <v>72</v>
      </c>
      <c r="K8" s="15" t="s">
        <v>73</v>
      </c>
      <c r="L8" s="16" t="s">
        <v>74</v>
      </c>
    </row>
    <row r="9" customFormat="false" ht="57.75" hidden="false" customHeight="true" outlineLevel="0" collapsed="false">
      <c r="A9" s="14" t="s">
        <v>75</v>
      </c>
      <c r="B9" s="15" t="s">
        <v>58</v>
      </c>
      <c r="C9" s="15" t="s">
        <v>76</v>
      </c>
      <c r="D9" s="15" t="s">
        <v>7</v>
      </c>
      <c r="E9" s="15" t="s">
        <v>7</v>
      </c>
      <c r="F9" s="15" t="s">
        <v>7</v>
      </c>
      <c r="G9" s="15" t="s">
        <v>77</v>
      </c>
      <c r="H9" s="15" t="s">
        <v>62</v>
      </c>
      <c r="I9" s="15" t="s">
        <v>78</v>
      </c>
      <c r="J9" s="15" t="s">
        <v>72</v>
      </c>
      <c r="K9" s="15" t="s">
        <v>79</v>
      </c>
      <c r="L9" s="16" t="s">
        <v>80</v>
      </c>
    </row>
    <row r="10" customFormat="false" ht="57.75" hidden="false" customHeight="true" outlineLevel="0" collapsed="false">
      <c r="A10" s="14" t="s">
        <v>81</v>
      </c>
      <c r="B10" s="15" t="s">
        <v>58</v>
      </c>
      <c r="C10" s="15" t="s">
        <v>82</v>
      </c>
      <c r="D10" s="15" t="s">
        <v>7</v>
      </c>
      <c r="E10" s="15" t="s">
        <v>7</v>
      </c>
      <c r="F10" s="15" t="s">
        <v>7</v>
      </c>
      <c r="G10" s="15" t="s">
        <v>83</v>
      </c>
      <c r="H10" s="15" t="s">
        <v>84</v>
      </c>
      <c r="I10" s="15" t="s">
        <v>85</v>
      </c>
      <c r="J10" s="15" t="s">
        <v>86</v>
      </c>
      <c r="K10" s="15" t="s">
        <v>87</v>
      </c>
      <c r="L10" s="16" t="s">
        <v>88</v>
      </c>
    </row>
    <row r="11" customFormat="false" ht="57.75" hidden="false" customHeight="true" outlineLevel="0" collapsed="false">
      <c r="A11" s="14" t="s">
        <v>89</v>
      </c>
      <c r="B11" s="15" t="s">
        <v>51</v>
      </c>
      <c r="C11" s="15" t="s">
        <v>90</v>
      </c>
      <c r="D11" s="15" t="s">
        <v>91</v>
      </c>
      <c r="E11" s="15" t="s">
        <v>92</v>
      </c>
      <c r="F11" s="15" t="s">
        <v>3</v>
      </c>
      <c r="G11" s="15" t="s">
        <v>48</v>
      </c>
      <c r="H11" s="15" t="s">
        <v>62</v>
      </c>
      <c r="I11" s="15" t="s">
        <v>93</v>
      </c>
      <c r="J11" s="15" t="s">
        <v>86</v>
      </c>
      <c r="K11" s="15" t="s">
        <v>94</v>
      </c>
      <c r="L11" s="16" t="s">
        <v>95</v>
      </c>
    </row>
    <row r="12" customFormat="false" ht="57.75" hidden="false" customHeight="true" outlineLevel="0" collapsed="false">
      <c r="A12" s="14" t="s">
        <v>96</v>
      </c>
      <c r="B12" s="15" t="s">
        <v>97</v>
      </c>
      <c r="C12" s="15" t="s">
        <v>98</v>
      </c>
      <c r="D12" s="15" t="s">
        <v>99</v>
      </c>
      <c r="E12" s="15" t="s">
        <v>100</v>
      </c>
      <c r="F12" s="15" t="s">
        <v>101</v>
      </c>
      <c r="G12" s="15" t="s">
        <v>102</v>
      </c>
      <c r="H12" s="15" t="s">
        <v>62</v>
      </c>
      <c r="I12" s="15" t="s">
        <v>103</v>
      </c>
      <c r="J12" s="15" t="s">
        <v>86</v>
      </c>
      <c r="K12" s="15" t="s">
        <v>104</v>
      </c>
      <c r="L12" s="16" t="s">
        <v>105</v>
      </c>
    </row>
    <row r="13" customFormat="false" ht="57.75" hidden="false" customHeight="true" outlineLevel="0" collapsed="false">
      <c r="A13" s="14" t="s">
        <v>106</v>
      </c>
      <c r="B13" s="15" t="s">
        <v>58</v>
      </c>
      <c r="C13" s="15" t="s">
        <v>107</v>
      </c>
      <c r="D13" s="15" t="s">
        <v>7</v>
      </c>
      <c r="E13" s="15" t="s">
        <v>7</v>
      </c>
      <c r="F13" s="15" t="s">
        <v>7</v>
      </c>
      <c r="G13" s="15" t="s">
        <v>108</v>
      </c>
      <c r="H13" s="15" t="s">
        <v>109</v>
      </c>
      <c r="I13" s="15" t="s">
        <v>78</v>
      </c>
      <c r="J13" s="15" t="s">
        <v>86</v>
      </c>
      <c r="K13" s="15" t="s">
        <v>110</v>
      </c>
      <c r="L13" s="16" t="s">
        <v>111</v>
      </c>
    </row>
    <row r="14" customFormat="false" ht="57.75" hidden="false" customHeight="true" outlineLevel="0" collapsed="false">
      <c r="A14" s="14" t="s">
        <v>112</v>
      </c>
      <c r="B14" s="15" t="s">
        <v>51</v>
      </c>
      <c r="C14" s="15" t="s">
        <v>113</v>
      </c>
      <c r="D14" s="15" t="s">
        <v>114</v>
      </c>
      <c r="E14" s="15" t="s">
        <v>115</v>
      </c>
      <c r="F14" s="15" t="s">
        <v>3</v>
      </c>
      <c r="G14" s="15" t="s">
        <v>48</v>
      </c>
      <c r="H14" s="15" t="s">
        <v>62</v>
      </c>
      <c r="I14" s="15" t="s">
        <v>116</v>
      </c>
      <c r="J14" s="15" t="s">
        <v>86</v>
      </c>
      <c r="K14" s="15" t="s">
        <v>117</v>
      </c>
      <c r="L14" s="16" t="s">
        <v>118</v>
      </c>
    </row>
    <row r="15" customFormat="false" ht="57.75" hidden="false" customHeight="true" outlineLevel="0" collapsed="false">
      <c r="A15" s="14" t="s">
        <v>119</v>
      </c>
      <c r="B15" s="15" t="s">
        <v>97</v>
      </c>
      <c r="C15" s="15" t="s">
        <v>120</v>
      </c>
      <c r="D15" s="15" t="s">
        <v>121</v>
      </c>
      <c r="E15" s="15" t="s">
        <v>122</v>
      </c>
      <c r="F15" s="15" t="s">
        <v>3</v>
      </c>
      <c r="G15" s="15" t="s">
        <v>123</v>
      </c>
      <c r="H15" s="15" t="s">
        <v>124</v>
      </c>
      <c r="I15" s="15" t="s">
        <v>125</v>
      </c>
      <c r="J15" s="15" t="s">
        <v>86</v>
      </c>
      <c r="K15" s="15" t="s">
        <v>126</v>
      </c>
      <c r="L15" s="16" t="s">
        <v>127</v>
      </c>
    </row>
    <row r="16" customFormat="false" ht="57.75" hidden="false" customHeight="true" outlineLevel="0" collapsed="false">
      <c r="A16" s="14" t="s">
        <v>128</v>
      </c>
      <c r="B16" s="15" t="s">
        <v>97</v>
      </c>
      <c r="C16" s="15" t="s">
        <v>129</v>
      </c>
      <c r="D16" s="15" t="s">
        <v>130</v>
      </c>
      <c r="E16" s="15" t="s">
        <v>100</v>
      </c>
      <c r="F16" s="15" t="s">
        <v>5</v>
      </c>
      <c r="G16" s="15" t="s">
        <v>131</v>
      </c>
      <c r="H16" s="15" t="s">
        <v>62</v>
      </c>
      <c r="I16" s="15" t="s">
        <v>132</v>
      </c>
      <c r="J16" s="15" t="s">
        <v>86</v>
      </c>
      <c r="K16" s="15" t="s">
        <v>133</v>
      </c>
      <c r="L16" s="16" t="s">
        <v>134</v>
      </c>
    </row>
    <row r="17" customFormat="false" ht="57.75" hidden="false" customHeight="true" outlineLevel="0" collapsed="false">
      <c r="A17" s="14" t="s">
        <v>135</v>
      </c>
      <c r="B17" s="15" t="s">
        <v>97</v>
      </c>
      <c r="C17" s="15" t="s">
        <v>136</v>
      </c>
      <c r="D17" s="15" t="s">
        <v>137</v>
      </c>
      <c r="E17" s="15" t="s">
        <v>138</v>
      </c>
      <c r="F17" s="15" t="s">
        <v>5</v>
      </c>
      <c r="G17" s="15" t="s">
        <v>139</v>
      </c>
      <c r="H17" s="15" t="s">
        <v>62</v>
      </c>
      <c r="I17" s="15" t="s">
        <v>140</v>
      </c>
      <c r="J17" s="15" t="s">
        <v>86</v>
      </c>
      <c r="K17" s="15" t="s">
        <v>141</v>
      </c>
      <c r="L17" s="16" t="s">
        <v>142</v>
      </c>
    </row>
    <row r="18" customFormat="false" ht="57.75" hidden="false" customHeight="true" outlineLevel="0" collapsed="false">
      <c r="A18" s="14" t="s">
        <v>143</v>
      </c>
      <c r="B18" s="15" t="s">
        <v>58</v>
      </c>
      <c r="C18" s="15" t="s">
        <v>144</v>
      </c>
      <c r="D18" s="15" t="s">
        <v>7</v>
      </c>
      <c r="E18" s="15" t="s">
        <v>7</v>
      </c>
      <c r="F18" s="15" t="s">
        <v>7</v>
      </c>
      <c r="G18" s="15" t="s">
        <v>83</v>
      </c>
      <c r="H18" s="15" t="s">
        <v>62</v>
      </c>
      <c r="I18" s="15" t="s">
        <v>145</v>
      </c>
      <c r="J18" s="15" t="s">
        <v>86</v>
      </c>
      <c r="K18" s="15" t="s">
        <v>146</v>
      </c>
      <c r="L18" s="16" t="s">
        <v>147</v>
      </c>
    </row>
    <row r="19" customFormat="false" ht="57.75" hidden="false" customHeight="true" outlineLevel="0" collapsed="false">
      <c r="A19" s="14" t="s">
        <v>148</v>
      </c>
      <c r="B19" s="15" t="s">
        <v>51</v>
      </c>
      <c r="C19" s="15" t="s">
        <v>149</v>
      </c>
      <c r="D19" s="15" t="s">
        <v>150</v>
      </c>
      <c r="E19" s="15" t="s">
        <v>151</v>
      </c>
      <c r="F19" s="15" t="s">
        <v>3</v>
      </c>
      <c r="G19" s="15" t="s">
        <v>152</v>
      </c>
      <c r="H19" s="15" t="s">
        <v>62</v>
      </c>
      <c r="I19" s="15" t="s">
        <v>78</v>
      </c>
      <c r="J19" s="15" t="s">
        <v>153</v>
      </c>
      <c r="K19" s="15" t="s">
        <v>154</v>
      </c>
      <c r="L19" s="16" t="s">
        <v>155</v>
      </c>
    </row>
    <row r="20" customFormat="false" ht="57.75" hidden="false" customHeight="true" outlineLevel="0" collapsed="false">
      <c r="A20" s="14" t="s">
        <v>156</v>
      </c>
      <c r="B20" s="15" t="s">
        <v>97</v>
      </c>
      <c r="C20" s="15" t="s">
        <v>157</v>
      </c>
      <c r="D20" s="15" t="s">
        <v>7</v>
      </c>
      <c r="E20" s="15" t="s">
        <v>7</v>
      </c>
      <c r="F20" s="15" t="s">
        <v>7</v>
      </c>
      <c r="G20" s="15" t="s">
        <v>102</v>
      </c>
      <c r="H20" s="15" t="s">
        <v>158</v>
      </c>
      <c r="I20" s="15" t="s">
        <v>125</v>
      </c>
      <c r="J20" s="15" t="s">
        <v>153</v>
      </c>
      <c r="K20" s="15" t="s">
        <v>159</v>
      </c>
      <c r="L20" s="16" t="s">
        <v>160</v>
      </c>
    </row>
    <row r="21" customFormat="false" ht="57.75" hidden="false" customHeight="true" outlineLevel="0" collapsed="false">
      <c r="A21" s="14" t="s">
        <v>161</v>
      </c>
      <c r="B21" s="15" t="s">
        <v>97</v>
      </c>
      <c r="C21" s="15" t="s">
        <v>157</v>
      </c>
      <c r="D21" s="15" t="s">
        <v>162</v>
      </c>
      <c r="E21" s="15" t="s">
        <v>69</v>
      </c>
      <c r="F21" s="15" t="s">
        <v>5</v>
      </c>
      <c r="G21" s="15" t="s">
        <v>102</v>
      </c>
      <c r="H21" s="15" t="s">
        <v>163</v>
      </c>
      <c r="I21" s="15" t="s">
        <v>125</v>
      </c>
      <c r="J21" s="15" t="s">
        <v>153</v>
      </c>
      <c r="K21" s="15" t="s">
        <v>164</v>
      </c>
      <c r="L21" s="16" t="s">
        <v>160</v>
      </c>
    </row>
    <row r="22" customFormat="false" ht="57.75" hidden="false" customHeight="true" outlineLevel="0" collapsed="false">
      <c r="A22" s="14" t="s">
        <v>165</v>
      </c>
      <c r="B22" s="15" t="s">
        <v>97</v>
      </c>
      <c r="C22" s="15" t="s">
        <v>157</v>
      </c>
      <c r="D22" s="15" t="s">
        <v>7</v>
      </c>
      <c r="E22" s="15" t="s">
        <v>7</v>
      </c>
      <c r="F22" s="15" t="s">
        <v>7</v>
      </c>
      <c r="G22" s="15" t="s">
        <v>102</v>
      </c>
      <c r="H22" s="15" t="s">
        <v>62</v>
      </c>
      <c r="I22" s="15" t="s">
        <v>166</v>
      </c>
      <c r="J22" s="15" t="s">
        <v>153</v>
      </c>
      <c r="K22" s="15" t="s">
        <v>167</v>
      </c>
      <c r="L22" s="16" t="s">
        <v>168</v>
      </c>
    </row>
    <row r="23" customFormat="false" ht="57.75" hidden="false" customHeight="true" outlineLevel="0" collapsed="false">
      <c r="A23" s="14" t="s">
        <v>169</v>
      </c>
      <c r="B23" s="15" t="s">
        <v>97</v>
      </c>
      <c r="C23" s="15" t="s">
        <v>170</v>
      </c>
      <c r="D23" s="15" t="s">
        <v>171</v>
      </c>
      <c r="E23" s="15" t="s">
        <v>172</v>
      </c>
      <c r="F23" s="15" t="s">
        <v>173</v>
      </c>
      <c r="G23" s="15" t="s">
        <v>174</v>
      </c>
      <c r="H23" s="15" t="s">
        <v>62</v>
      </c>
      <c r="I23" s="15" t="s">
        <v>125</v>
      </c>
      <c r="J23" s="15" t="s">
        <v>153</v>
      </c>
      <c r="K23" s="15" t="s">
        <v>175</v>
      </c>
      <c r="L23" s="16" t="s">
        <v>176</v>
      </c>
    </row>
    <row r="24" customFormat="false" ht="57.75" hidden="false" customHeight="true" outlineLevel="0" collapsed="false">
      <c r="A24" s="14" t="s">
        <v>177</v>
      </c>
      <c r="B24" s="15" t="s">
        <v>51</v>
      </c>
      <c r="C24" s="15" t="s">
        <v>178</v>
      </c>
      <c r="D24" s="15" t="s">
        <v>7</v>
      </c>
      <c r="E24" s="15" t="s">
        <v>7</v>
      </c>
      <c r="F24" s="15" t="s">
        <v>7</v>
      </c>
      <c r="G24" s="15" t="s">
        <v>108</v>
      </c>
      <c r="H24" s="15" t="s">
        <v>179</v>
      </c>
      <c r="I24" s="15" t="s">
        <v>78</v>
      </c>
      <c r="J24" s="15" t="s">
        <v>153</v>
      </c>
      <c r="K24" s="15" t="s">
        <v>180</v>
      </c>
      <c r="L24" s="16" t="s">
        <v>181</v>
      </c>
    </row>
    <row r="25" customFormat="false" ht="57.75" hidden="false" customHeight="true" outlineLevel="0" collapsed="false">
      <c r="A25" s="14" t="s">
        <v>182</v>
      </c>
      <c r="B25" s="15" t="s">
        <v>58</v>
      </c>
      <c r="C25" s="15" t="s">
        <v>183</v>
      </c>
      <c r="D25" s="15" t="s">
        <v>184</v>
      </c>
      <c r="E25" s="15" t="s">
        <v>7</v>
      </c>
      <c r="F25" s="15" t="s">
        <v>7</v>
      </c>
      <c r="G25" s="15" t="s">
        <v>185</v>
      </c>
      <c r="H25" s="15" t="s">
        <v>62</v>
      </c>
      <c r="I25" s="15" t="s">
        <v>125</v>
      </c>
      <c r="J25" s="15" t="s">
        <v>153</v>
      </c>
      <c r="K25" s="15" t="s">
        <v>186</v>
      </c>
      <c r="L25" s="16" t="s">
        <v>187</v>
      </c>
    </row>
    <row r="26" customFormat="false" ht="57.75" hidden="false" customHeight="true" outlineLevel="0" collapsed="false">
      <c r="A26" s="14" t="s">
        <v>188</v>
      </c>
      <c r="B26" s="15" t="s">
        <v>58</v>
      </c>
      <c r="C26" s="15" t="s">
        <v>189</v>
      </c>
      <c r="D26" s="15" t="s">
        <v>7</v>
      </c>
      <c r="E26" s="15" t="s">
        <v>7</v>
      </c>
      <c r="F26" s="15" t="s">
        <v>7</v>
      </c>
      <c r="G26" s="15" t="s">
        <v>83</v>
      </c>
      <c r="H26" s="15" t="s">
        <v>84</v>
      </c>
      <c r="I26" s="15" t="s">
        <v>78</v>
      </c>
      <c r="J26" s="15" t="s">
        <v>153</v>
      </c>
      <c r="K26" s="15" t="s">
        <v>190</v>
      </c>
      <c r="L26" s="16" t="s">
        <v>191</v>
      </c>
    </row>
    <row r="27" customFormat="false" ht="57.75" hidden="false" customHeight="true" outlineLevel="0" collapsed="false">
      <c r="A27" s="14" t="s">
        <v>192</v>
      </c>
      <c r="B27" s="15" t="s">
        <v>97</v>
      </c>
      <c r="C27" s="15" t="s">
        <v>193</v>
      </c>
      <c r="D27" s="15" t="s">
        <v>7</v>
      </c>
      <c r="E27" s="15" t="s">
        <v>172</v>
      </c>
      <c r="F27" s="15" t="s">
        <v>7</v>
      </c>
      <c r="G27" s="15" t="s">
        <v>194</v>
      </c>
      <c r="H27" s="15" t="s">
        <v>195</v>
      </c>
      <c r="I27" s="15" t="s">
        <v>196</v>
      </c>
      <c r="J27" s="15" t="s">
        <v>153</v>
      </c>
      <c r="K27" s="15" t="s">
        <v>197</v>
      </c>
      <c r="L27" s="16" t="s">
        <v>198</v>
      </c>
    </row>
    <row r="28" customFormat="false" ht="57.75" hidden="false" customHeight="true" outlineLevel="0" collapsed="false">
      <c r="A28" s="14" t="s">
        <v>199</v>
      </c>
      <c r="B28" s="15" t="s">
        <v>97</v>
      </c>
      <c r="C28" s="15" t="s">
        <v>200</v>
      </c>
      <c r="D28" s="15" t="s">
        <v>201</v>
      </c>
      <c r="E28" s="15" t="s">
        <v>202</v>
      </c>
      <c r="F28" s="15" t="s">
        <v>203</v>
      </c>
      <c r="G28" s="15" t="s">
        <v>62</v>
      </c>
      <c r="H28" s="15" t="s">
        <v>204</v>
      </c>
      <c r="I28" s="15" t="s">
        <v>205</v>
      </c>
      <c r="J28" s="15" t="s">
        <v>153</v>
      </c>
      <c r="K28" s="15" t="s">
        <v>206</v>
      </c>
      <c r="L28" s="16" t="s">
        <v>198</v>
      </c>
    </row>
    <row r="29" customFormat="false" ht="57.75" hidden="false" customHeight="true" outlineLevel="0" collapsed="false">
      <c r="A29" s="14" t="s">
        <v>207</v>
      </c>
      <c r="B29" s="15" t="s">
        <v>97</v>
      </c>
      <c r="C29" s="15" t="s">
        <v>200</v>
      </c>
      <c r="D29" s="15" t="s">
        <v>208</v>
      </c>
      <c r="E29" s="15" t="s">
        <v>209</v>
      </c>
      <c r="F29" s="15" t="s">
        <v>5</v>
      </c>
      <c r="G29" s="15" t="s">
        <v>62</v>
      </c>
      <c r="H29" s="15" t="s">
        <v>62</v>
      </c>
      <c r="I29" s="15" t="s">
        <v>205</v>
      </c>
      <c r="J29" s="15" t="s">
        <v>153</v>
      </c>
      <c r="K29" s="15" t="s">
        <v>210</v>
      </c>
      <c r="L29" s="16" t="s">
        <v>176</v>
      </c>
    </row>
    <row r="30" customFormat="false" ht="57.75" hidden="false" customHeight="true" outlineLevel="0" collapsed="false">
      <c r="A30" s="14" t="s">
        <v>211</v>
      </c>
      <c r="B30" s="15" t="s">
        <v>51</v>
      </c>
      <c r="C30" s="15" t="s">
        <v>85</v>
      </c>
      <c r="D30" s="15" t="s">
        <v>212</v>
      </c>
      <c r="E30" s="15" t="s">
        <v>7</v>
      </c>
      <c r="F30" s="15" t="s">
        <v>7</v>
      </c>
      <c r="G30" s="15" t="s">
        <v>108</v>
      </c>
      <c r="H30" s="15" t="s">
        <v>84</v>
      </c>
      <c r="I30" s="15" t="s">
        <v>43</v>
      </c>
      <c r="J30" s="15" t="s">
        <v>153</v>
      </c>
      <c r="K30" s="15" t="s">
        <v>213</v>
      </c>
      <c r="L30" s="16" t="s">
        <v>214</v>
      </c>
    </row>
    <row r="31" customFormat="false" ht="57.75" hidden="false" customHeight="true" outlineLevel="0" collapsed="false">
      <c r="A31" s="14" t="s">
        <v>215</v>
      </c>
      <c r="B31" s="15" t="s">
        <v>58</v>
      </c>
      <c r="C31" s="15" t="s">
        <v>216</v>
      </c>
      <c r="D31" s="15" t="s">
        <v>217</v>
      </c>
      <c r="E31" s="15" t="s">
        <v>7</v>
      </c>
      <c r="F31" s="15" t="s">
        <v>9</v>
      </c>
      <c r="G31" s="15" t="s">
        <v>218</v>
      </c>
      <c r="H31" s="15" t="s">
        <v>62</v>
      </c>
      <c r="I31" s="15" t="s">
        <v>219</v>
      </c>
      <c r="J31" s="15" t="s">
        <v>153</v>
      </c>
      <c r="K31" s="15" t="s">
        <v>220</v>
      </c>
      <c r="L31" s="16" t="s">
        <v>221</v>
      </c>
    </row>
    <row r="32" customFormat="false" ht="57.75" hidden="false" customHeight="true" outlineLevel="0" collapsed="false">
      <c r="A32" s="14" t="s">
        <v>222</v>
      </c>
      <c r="B32" s="15" t="s">
        <v>97</v>
      </c>
      <c r="C32" s="15" t="s">
        <v>223</v>
      </c>
      <c r="D32" s="15" t="s">
        <v>224</v>
      </c>
      <c r="E32" s="15" t="s">
        <v>100</v>
      </c>
      <c r="F32" s="15" t="s">
        <v>225</v>
      </c>
      <c r="G32" s="15" t="s">
        <v>102</v>
      </c>
      <c r="H32" s="15" t="s">
        <v>226</v>
      </c>
      <c r="I32" s="15" t="s">
        <v>125</v>
      </c>
      <c r="J32" s="15" t="s">
        <v>153</v>
      </c>
      <c r="K32" s="15" t="s">
        <v>227</v>
      </c>
      <c r="L32" s="16" t="s">
        <v>176</v>
      </c>
    </row>
    <row r="33" customFormat="false" ht="57.75" hidden="false" customHeight="true" outlineLevel="0" collapsed="false">
      <c r="A33" s="14" t="s">
        <v>228</v>
      </c>
      <c r="B33" s="15" t="s">
        <v>58</v>
      </c>
      <c r="C33" s="15" t="s">
        <v>229</v>
      </c>
      <c r="D33" s="15" t="s">
        <v>230</v>
      </c>
      <c r="E33" s="15" t="s">
        <v>7</v>
      </c>
      <c r="F33" s="15" t="s">
        <v>5</v>
      </c>
      <c r="G33" s="15" t="s">
        <v>231</v>
      </c>
      <c r="H33" s="15" t="s">
        <v>62</v>
      </c>
      <c r="I33" s="15" t="s">
        <v>232</v>
      </c>
      <c r="J33" s="15" t="s">
        <v>153</v>
      </c>
      <c r="K33" s="15" t="s">
        <v>233</v>
      </c>
      <c r="L33" s="16" t="s">
        <v>234</v>
      </c>
    </row>
    <row r="34" customFormat="false" ht="57.75" hidden="false" customHeight="true" outlineLevel="0" collapsed="false">
      <c r="A34" s="14" t="s">
        <v>235</v>
      </c>
      <c r="B34" s="15" t="s">
        <v>97</v>
      </c>
      <c r="C34" s="15" t="s">
        <v>236</v>
      </c>
      <c r="D34" s="15" t="s">
        <v>7</v>
      </c>
      <c r="E34" s="15" t="s">
        <v>7</v>
      </c>
      <c r="F34" s="15" t="s">
        <v>237</v>
      </c>
      <c r="G34" s="15" t="s">
        <v>102</v>
      </c>
      <c r="H34" s="15" t="s">
        <v>62</v>
      </c>
      <c r="I34" s="15" t="s">
        <v>125</v>
      </c>
      <c r="J34" s="15" t="s">
        <v>153</v>
      </c>
      <c r="K34" s="15" t="s">
        <v>238</v>
      </c>
      <c r="L34" s="16" t="s">
        <v>239</v>
      </c>
    </row>
    <row r="35" customFormat="false" ht="57.75" hidden="false" customHeight="true" outlineLevel="0" collapsed="false">
      <c r="A35" s="14" t="s">
        <v>240</v>
      </c>
      <c r="B35" s="15" t="s">
        <v>97</v>
      </c>
      <c r="C35" s="15" t="s">
        <v>241</v>
      </c>
      <c r="D35" s="15" t="s">
        <v>7</v>
      </c>
      <c r="E35" s="15" t="s">
        <v>7</v>
      </c>
      <c r="F35" s="15" t="s">
        <v>242</v>
      </c>
      <c r="G35" s="15" t="s">
        <v>243</v>
      </c>
      <c r="H35" s="15" t="s">
        <v>244</v>
      </c>
      <c r="I35" s="15" t="s">
        <v>125</v>
      </c>
      <c r="J35" s="15" t="s">
        <v>153</v>
      </c>
      <c r="K35" s="15" t="s">
        <v>245</v>
      </c>
      <c r="L35" s="16" t="s">
        <v>246</v>
      </c>
    </row>
    <row r="36" customFormat="false" ht="57.75" hidden="false" customHeight="true" outlineLevel="0" collapsed="false">
      <c r="A36" s="14" t="s">
        <v>247</v>
      </c>
      <c r="B36" s="15" t="s">
        <v>97</v>
      </c>
      <c r="C36" s="15" t="s">
        <v>248</v>
      </c>
      <c r="D36" s="15" t="s">
        <v>249</v>
      </c>
      <c r="E36" s="15" t="s">
        <v>250</v>
      </c>
      <c r="F36" s="15" t="s">
        <v>3</v>
      </c>
      <c r="G36" s="15" t="s">
        <v>62</v>
      </c>
      <c r="H36" s="15" t="s">
        <v>62</v>
      </c>
      <c r="I36" s="15" t="s">
        <v>205</v>
      </c>
      <c r="J36" s="15" t="s">
        <v>153</v>
      </c>
      <c r="K36" s="15" t="s">
        <v>251</v>
      </c>
      <c r="L36" s="16" t="s">
        <v>252</v>
      </c>
    </row>
    <row r="37" customFormat="false" ht="57.75" hidden="false" customHeight="true" outlineLevel="0" collapsed="false">
      <c r="A37" s="14" t="s">
        <v>253</v>
      </c>
      <c r="B37" s="15" t="s">
        <v>58</v>
      </c>
      <c r="C37" s="15" t="s">
        <v>254</v>
      </c>
      <c r="D37" s="15" t="s">
        <v>7</v>
      </c>
      <c r="E37" s="15" t="s">
        <v>7</v>
      </c>
      <c r="F37" s="15" t="s">
        <v>7</v>
      </c>
      <c r="G37" s="15" t="s">
        <v>255</v>
      </c>
      <c r="H37" s="15" t="s">
        <v>62</v>
      </c>
      <c r="I37" s="15" t="s">
        <v>256</v>
      </c>
      <c r="J37" s="15" t="s">
        <v>153</v>
      </c>
      <c r="K37" s="15" t="s">
        <v>257</v>
      </c>
      <c r="L37" s="16" t="s">
        <v>258</v>
      </c>
    </row>
  </sheetData>
  <autoFilter ref="A4:L37"/>
  <hyperlinks>
    <hyperlink ref="L7" r:id="rId1" display="https://veticareapp.com/price"/>
    <hyperlink ref="L8" r:id="rId2" display="https://apps.odoo.com/apps/modules/13.0/bi_veterinary_management"/>
    <hyperlink ref="L9" r:id="rId3" display="https://baitari.vet/"/>
    <hyperlink ref="L10" r:id="rId4" display="https://almukhtabarat.com/"/>
    <hyperlink ref="L11" r:id="rId5" display="https://www.daftra.com/plans/"/>
    <hyperlink ref="L12" r:id="rId6" display="https://www.capterra.ae/directory/30617/veterinary/software"/>
    <hyperlink ref="L13" r:id="rId7" display="https://www.const-tech.org/public/products/5"/>
    <hyperlink ref="L14" r:id="rId8" display="https://www.medicakare.com/ar/"/>
    <hyperlink ref="L15" r:id="rId9" display="https://openvpms.org/"/>
    <hyperlink ref="L16" r:id="rId10" display="https://www.capterra.co.uk/software/137569/provet-cloud"/>
    <hyperlink ref="L17" r:id="rId11" display="https://www.vetport.com/pricing"/>
    <hyperlink ref="L18" r:id="rId12" display="https://yolo.clinic/ar/"/>
    <hyperlink ref="L19" r:id="rId13" display="https://clinicgateway.ae/"/>
    <hyperlink ref="L20" r:id="rId14" display="https://covetrus.com/"/>
    <hyperlink ref="L21" r:id="rId15" display="https://covetrus.com/"/>
    <hyperlink ref="L22" r:id="rId16" display="https://software.covetrus.com/emea/"/>
    <hyperlink ref="L23" r:id="rId17" display="https://www.capterra.com/"/>
    <hyperlink ref="L24" r:id="rId18" display="https://fekrait.com/"/>
    <hyperlink ref="L25" r:id="rId19" display="https://www.gvetsoft.com/en/"/>
    <hyperlink ref="L26" r:id="rId20" display="https://holoolalghad.com/veterinary-clinic"/>
    <hyperlink ref="L27" r:id="rId21" display="https://www.idexx.com/"/>
    <hyperlink ref="L28" r:id="rId22" display="https://www.idexx.com/"/>
    <hyperlink ref="L29" r:id="rId23" display="https://www.capterra.com/"/>
    <hyperlink ref="L30" r:id="rId24" display="https://nitcotek.com/"/>
    <hyperlink ref="L31" r:id="rId25" display="https://2tinteractive.com/solutions/petsphere/"/>
    <hyperlink ref="L32" r:id="rId26" display="https://www.capterra.com/"/>
    <hyperlink ref="L33" r:id="rId27" display="https://apps.apple.com/us/app/id6736607434"/>
    <hyperlink ref="L34" r:id="rId28" display="https://www.vetspire.com/"/>
    <hyperlink ref="L35" r:id="rId29" display="https://www.getapp.com/"/>
    <hyperlink ref="L36" r:id="rId30" display="https://www.ezyvet.com/pricing/us"/>
    <hyperlink ref="L37" r:id="rId31" display="https://medicalplus.ae/product/vetpms-cloud-veterinary-practice-management-software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5" min="4" style="0" width="14"/>
    <col collapsed="false" customWidth="true" hidden="false" outlineLevel="0" max="7" min="6" style="0" width="24"/>
  </cols>
  <sheetData>
    <row r="1" customFormat="false" ht="18.55" hidden="false" customHeight="false" outlineLevel="0" collapsed="false">
      <c r="A1" s="1" t="s">
        <v>259</v>
      </c>
    </row>
    <row r="2" customFormat="false" ht="15" hidden="false" customHeight="false" outlineLevel="0" collapsed="false">
      <c r="A2" s="7" t="s">
        <v>260</v>
      </c>
    </row>
    <row r="4" customFormat="false" ht="15" hidden="false" customHeight="false" outlineLevel="0" collapsed="false">
      <c r="A4" s="4" t="s">
        <v>261</v>
      </c>
      <c r="B4" s="17" t="n">
        <v>50.5</v>
      </c>
      <c r="C4" s="7" t="s">
        <v>262</v>
      </c>
    </row>
    <row r="5" customFormat="false" ht="15" hidden="false" customHeight="false" outlineLevel="0" collapsed="false">
      <c r="A5" s="4" t="s">
        <v>263</v>
      </c>
      <c r="B5" s="17" t="n">
        <v>3</v>
      </c>
      <c r="C5" s="7" t="s">
        <v>264</v>
      </c>
    </row>
    <row r="6" customFormat="false" ht="15" hidden="false" customHeight="false" outlineLevel="0" collapsed="false">
      <c r="A6" s="4" t="s">
        <v>265</v>
      </c>
      <c r="B6" s="17" t="n">
        <v>150</v>
      </c>
      <c r="C6" s="7" t="s">
        <v>266</v>
      </c>
    </row>
    <row r="8" customFormat="false" ht="30" hidden="false" customHeight="true" outlineLevel="0" collapsed="false">
      <c r="A8" s="8" t="s">
        <v>29</v>
      </c>
      <c r="B8" s="8" t="s">
        <v>32</v>
      </c>
      <c r="C8" s="8" t="s">
        <v>33</v>
      </c>
      <c r="D8" s="8" t="s">
        <v>267</v>
      </c>
      <c r="E8" s="8" t="s">
        <v>268</v>
      </c>
      <c r="F8" s="8" t="s">
        <v>269</v>
      </c>
      <c r="G8" s="8" t="s">
        <v>34</v>
      </c>
    </row>
    <row r="9" customFormat="false" ht="15" hidden="false" customHeight="false" outlineLevel="0" collapsed="false">
      <c r="A9" s="18" t="s">
        <v>112</v>
      </c>
      <c r="B9" s="15" t="s">
        <v>114</v>
      </c>
      <c r="C9" s="19" t="s">
        <v>115</v>
      </c>
      <c r="D9" s="20" t="n">
        <v>0</v>
      </c>
      <c r="E9" s="20" t="n">
        <f aca="false">D9*$B$4</f>
        <v>0</v>
      </c>
      <c r="F9" s="21" t="n">
        <f aca="false">IF($B$6=0,"",E9/$B$6)</f>
        <v>0</v>
      </c>
      <c r="G9" s="15" t="s">
        <v>3</v>
      </c>
    </row>
    <row r="10" customFormat="false" ht="15" hidden="false" customHeight="false" outlineLevel="0" collapsed="false">
      <c r="A10" s="18" t="s">
        <v>50</v>
      </c>
      <c r="B10" s="15" t="s">
        <v>52</v>
      </c>
      <c r="C10" s="19" t="s">
        <v>52</v>
      </c>
      <c r="D10" s="20" t="n">
        <v>0</v>
      </c>
      <c r="E10" s="20" t="n">
        <f aca="false">D10*$B$4</f>
        <v>0</v>
      </c>
      <c r="F10" s="21" t="n">
        <f aca="false">IF($B$6=0,"",E10/$B$6)</f>
        <v>0</v>
      </c>
      <c r="G10" s="15" t="s">
        <v>53</v>
      </c>
    </row>
    <row r="11" customFormat="false" ht="15" hidden="false" customHeight="false" outlineLevel="0" collapsed="false">
      <c r="A11" s="18" t="s">
        <v>119</v>
      </c>
      <c r="B11" s="15" t="s">
        <v>121</v>
      </c>
      <c r="C11" s="19" t="s">
        <v>122</v>
      </c>
      <c r="D11" s="20" t="n">
        <f aca="false">24*$B$5</f>
        <v>72</v>
      </c>
      <c r="E11" s="20" t="n">
        <f aca="false">D11*$B$4</f>
        <v>3636</v>
      </c>
      <c r="F11" s="21" t="n">
        <f aca="false">IF($B$6=0,"",E11/$B$6)</f>
        <v>24.24</v>
      </c>
      <c r="G11" s="15" t="s">
        <v>3</v>
      </c>
    </row>
    <row r="12" customFormat="false" ht="15" hidden="false" customHeight="false" outlineLevel="0" collapsed="false">
      <c r="A12" s="18" t="s">
        <v>57</v>
      </c>
      <c r="B12" s="15" t="s">
        <v>59</v>
      </c>
      <c r="C12" s="19" t="s">
        <v>60</v>
      </c>
      <c r="D12" s="20" t="n">
        <v>52</v>
      </c>
      <c r="E12" s="20" t="n">
        <f aca="false">D12*$B$4</f>
        <v>2626</v>
      </c>
      <c r="F12" s="21" t="n">
        <f aca="false">IF($B$6=0,"",E12/$B$6)</f>
        <v>17.5066666666667</v>
      </c>
      <c r="G12" s="15" t="s">
        <v>3</v>
      </c>
    </row>
    <row r="13" customFormat="false" ht="15" hidden="false" customHeight="false" outlineLevel="0" collapsed="false">
      <c r="A13" s="18" t="s">
        <v>128</v>
      </c>
      <c r="B13" s="15" t="s">
        <v>130</v>
      </c>
      <c r="C13" s="19" t="s">
        <v>100</v>
      </c>
      <c r="D13" s="20" t="n">
        <f aca="false">99*$B$5</f>
        <v>297</v>
      </c>
      <c r="E13" s="20" t="n">
        <f aca="false">D13*$B$4</f>
        <v>14998.5</v>
      </c>
      <c r="F13" s="21" t="n">
        <f aca="false">IF($B$6=0,"",E13/$B$6)</f>
        <v>99.99</v>
      </c>
      <c r="G13" s="15" t="s">
        <v>5</v>
      </c>
    </row>
    <row r="14" customFormat="false" ht="24.05" hidden="false" customHeight="false" outlineLevel="0" collapsed="false">
      <c r="A14" s="18" t="s">
        <v>96</v>
      </c>
      <c r="B14" s="15" t="s">
        <v>99</v>
      </c>
      <c r="C14" s="19" t="s">
        <v>100</v>
      </c>
      <c r="D14" s="20" t="n">
        <f aca="false">119*$B$5</f>
        <v>357</v>
      </c>
      <c r="E14" s="20" t="n">
        <f aca="false">D14*$B$4</f>
        <v>18028.5</v>
      </c>
      <c r="F14" s="21" t="n">
        <f aca="false">IF($B$6=0,"",E14/$B$6)</f>
        <v>120.19</v>
      </c>
      <c r="G14" s="15" t="s">
        <v>101</v>
      </c>
    </row>
    <row r="15" customFormat="false" ht="15" hidden="false" customHeight="false" outlineLevel="0" collapsed="false">
      <c r="A15" s="18" t="s">
        <v>135</v>
      </c>
      <c r="B15" s="15" t="s">
        <v>137</v>
      </c>
      <c r="C15" s="19" t="s">
        <v>138</v>
      </c>
      <c r="D15" s="20" t="n">
        <v>229</v>
      </c>
      <c r="E15" s="20" t="n">
        <f aca="false">D15*$B$4</f>
        <v>11564.5</v>
      </c>
      <c r="F15" s="21" t="n">
        <f aca="false">IF($B$6=0,"",E15/$B$6)</f>
        <v>77.0966666666667</v>
      </c>
      <c r="G15" s="15" t="s">
        <v>5</v>
      </c>
    </row>
    <row r="16" customFormat="false" ht="15" hidden="false" customHeight="false" outlineLevel="0" collapsed="false">
      <c r="A16" s="18" t="s">
        <v>247</v>
      </c>
      <c r="B16" s="15" t="s">
        <v>249</v>
      </c>
      <c r="C16" s="19" t="s">
        <v>250</v>
      </c>
      <c r="D16" s="20" t="n">
        <v>260.5</v>
      </c>
      <c r="E16" s="20" t="n">
        <f aca="false">D16*$B$4</f>
        <v>13155.25</v>
      </c>
      <c r="F16" s="21" t="n">
        <f aca="false">IF($B$6=0,"",E16/$B$6)</f>
        <v>87.7016666666667</v>
      </c>
      <c r="G16" s="15" t="s">
        <v>3</v>
      </c>
    </row>
    <row r="17" customFormat="false" ht="15" hidden="false" customHeight="false" outlineLevel="0" collapsed="false">
      <c r="A17" s="18" t="s">
        <v>169</v>
      </c>
      <c r="B17" s="15" t="s">
        <v>171</v>
      </c>
      <c r="C17" s="19" t="s">
        <v>172</v>
      </c>
      <c r="D17" s="20" t="n">
        <v>289</v>
      </c>
      <c r="E17" s="20" t="n">
        <f aca="false">D17*$B$4</f>
        <v>14594.5</v>
      </c>
      <c r="F17" s="21" t="n">
        <f aca="false">IF($B$6=0,"",E17/$B$6)</f>
        <v>97.2966666666667</v>
      </c>
      <c r="G17" s="15" t="s">
        <v>173</v>
      </c>
    </row>
    <row r="18" customFormat="false" ht="24.05" hidden="false" customHeight="false" outlineLevel="0" collapsed="false">
      <c r="A18" s="18" t="s">
        <v>207</v>
      </c>
      <c r="B18" s="15" t="s">
        <v>208</v>
      </c>
      <c r="C18" s="19" t="s">
        <v>209</v>
      </c>
      <c r="D18" s="20" t="n">
        <v>290</v>
      </c>
      <c r="E18" s="20" t="n">
        <f aca="false">D18*$B$4</f>
        <v>14645</v>
      </c>
      <c r="F18" s="21" t="n">
        <f aca="false">IF($B$6=0,"",E18/$B$6)</f>
        <v>97.6333333333333</v>
      </c>
      <c r="G18" s="15" t="s">
        <v>5</v>
      </c>
    </row>
    <row r="19" customFormat="false" ht="15" hidden="false" customHeight="false" outlineLevel="0" collapsed="false">
      <c r="A19" s="18" t="s">
        <v>222</v>
      </c>
      <c r="B19" s="15" t="s">
        <v>224</v>
      </c>
      <c r="C19" s="19" t="s">
        <v>100</v>
      </c>
      <c r="D19" s="20" t="n">
        <f aca="false">299*$B$5</f>
        <v>897</v>
      </c>
      <c r="E19" s="20" t="n">
        <f aca="false">D19*$B$4</f>
        <v>45298.5</v>
      </c>
      <c r="F19" s="21" t="n">
        <f aca="false">IF($B$6=0,"",E19/$B$6)</f>
        <v>301.99</v>
      </c>
      <c r="G19" s="15" t="s">
        <v>225</v>
      </c>
    </row>
    <row r="20" customFormat="false" ht="15" hidden="false" customHeight="false" outlineLevel="0" collapsed="false">
      <c r="A20" s="18" t="s">
        <v>199</v>
      </c>
      <c r="B20" s="15" t="s">
        <v>201</v>
      </c>
      <c r="C20" s="19" t="s">
        <v>202</v>
      </c>
      <c r="D20" s="20" t="n">
        <v>549</v>
      </c>
      <c r="E20" s="20" t="n">
        <f aca="false">D20*$B$4</f>
        <v>27724.5</v>
      </c>
      <c r="F20" s="21" t="n">
        <f aca="false">IF($B$6=0,"",E20/$B$6)</f>
        <v>184.83</v>
      </c>
      <c r="G20" s="15" t="s">
        <v>203</v>
      </c>
    </row>
    <row r="21" customFormat="false" ht="15" hidden="false" customHeight="false" outlineLevel="0" collapsed="false">
      <c r="A21" s="18" t="s">
        <v>148</v>
      </c>
      <c r="B21" s="15" t="s">
        <v>150</v>
      </c>
      <c r="C21" s="19" t="s">
        <v>151</v>
      </c>
      <c r="D21" s="20" t="n">
        <v>666</v>
      </c>
      <c r="E21" s="20" t="n">
        <f aca="false">D21*$B$4</f>
        <v>33633</v>
      </c>
      <c r="F21" s="21" t="n">
        <f aca="false">IF($B$6=0,"",E21/$B$6)</f>
        <v>224.22</v>
      </c>
      <c r="G21" s="15" t="s">
        <v>3</v>
      </c>
    </row>
    <row r="23" customFormat="false" ht="15" hidden="false" customHeight="false" outlineLevel="0" collapsed="false">
      <c r="A23" s="22" t="s">
        <v>270</v>
      </c>
      <c r="B23" s="23" t="s">
        <v>271</v>
      </c>
      <c r="C23" s="23" t="s">
        <v>272</v>
      </c>
      <c r="D23" s="24" t="n">
        <f aca="false">E23/$B$4</f>
        <v>11.8811881188119</v>
      </c>
      <c r="E23" s="24" t="n">
        <v>600</v>
      </c>
      <c r="F23" s="25" t="n">
        <f aca="false">IF($B$6=0,"",E23/$B$6)</f>
        <v>4</v>
      </c>
      <c r="G23" s="23" t="s">
        <v>46</v>
      </c>
    </row>
    <row r="24" customFormat="false" ht="15" hidden="false" customHeight="false" outlineLevel="0" collapsed="false">
      <c r="A24" s="22" t="s">
        <v>273</v>
      </c>
      <c r="B24" s="23" t="s">
        <v>274</v>
      </c>
      <c r="C24" s="23" t="s">
        <v>275</v>
      </c>
      <c r="D24" s="24" t="n">
        <f aca="false">E24/$B$4</f>
        <v>2.97029702970297</v>
      </c>
      <c r="E24" s="24" t="n">
        <f aca="false">1800/12</f>
        <v>150</v>
      </c>
      <c r="F24" s="25" t="n">
        <f aca="false">IF($B$6=0,"",E24/$B$6)</f>
        <v>1</v>
      </c>
      <c r="G24" s="23" t="s">
        <v>46</v>
      </c>
    </row>
    <row r="26" customFormat="false" ht="15" hidden="false" customHeight="true" outlineLevel="0" collapsed="false">
      <c r="A26" s="26" t="s">
        <v>276</v>
      </c>
      <c r="B26" s="26"/>
      <c r="C26" s="26"/>
      <c r="D26" s="26"/>
      <c r="E26" s="26"/>
      <c r="F26" s="26"/>
      <c r="G26" s="26"/>
    </row>
    <row r="27" customFormat="false" ht="15" hidden="false" customHeight="false" outlineLevel="0" collapsed="false">
      <c r="A27" s="26"/>
      <c r="B27" s="26"/>
      <c r="C27" s="26"/>
      <c r="D27" s="26"/>
      <c r="E27" s="26"/>
      <c r="F27" s="26"/>
      <c r="G27" s="26"/>
    </row>
    <row r="28" customFormat="false" ht="15" hidden="false" customHeight="false" outlineLevel="0" collapsed="false">
      <c r="A28" s="26"/>
      <c r="B28" s="26"/>
      <c r="C28" s="26"/>
      <c r="D28" s="26"/>
      <c r="E28" s="26"/>
      <c r="F28" s="26"/>
      <c r="G28" s="26"/>
    </row>
  </sheetData>
  <mergeCells count="1">
    <mergeCell ref="A26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4"/>
    <col collapsed="false" customWidth="true" hidden="false" outlineLevel="0" max="8" min="8" style="0" width="16"/>
  </cols>
  <sheetData>
    <row r="1" customFormat="false" ht="18.55" hidden="false" customHeight="false" outlineLevel="0" collapsed="false">
      <c r="A1" s="1" t="s">
        <v>277</v>
      </c>
    </row>
    <row r="2" customFormat="false" ht="15" hidden="false" customHeight="false" outlineLevel="0" collapsed="false">
      <c r="A2" s="7" t="s">
        <v>278</v>
      </c>
    </row>
    <row r="4" customFormat="false" ht="30" hidden="false" customHeight="true" outlineLevel="0" collapsed="false">
      <c r="A4" s="8" t="s">
        <v>279</v>
      </c>
      <c r="B4" s="8" t="s">
        <v>280</v>
      </c>
      <c r="C4" s="8" t="s">
        <v>57</v>
      </c>
      <c r="D4" s="8" t="s">
        <v>75</v>
      </c>
      <c r="E4" s="8" t="s">
        <v>281</v>
      </c>
      <c r="F4" s="8" t="s">
        <v>89</v>
      </c>
      <c r="G4" s="8" t="s">
        <v>247</v>
      </c>
      <c r="H4" s="8" t="s">
        <v>128</v>
      </c>
    </row>
    <row r="5" customFormat="false" ht="16.5" hidden="false" customHeight="true" outlineLevel="0" collapsed="false">
      <c r="A5" s="14" t="s">
        <v>282</v>
      </c>
      <c r="B5" s="27" t="s">
        <v>48</v>
      </c>
      <c r="C5" s="28" t="s">
        <v>48</v>
      </c>
      <c r="D5" s="28" t="s">
        <v>48</v>
      </c>
      <c r="E5" s="28" t="s">
        <v>48</v>
      </c>
      <c r="F5" s="28" t="s">
        <v>48</v>
      </c>
      <c r="G5" s="28" t="s">
        <v>62</v>
      </c>
      <c r="H5" s="28" t="s">
        <v>62</v>
      </c>
    </row>
    <row r="6" customFormat="false" ht="16.5" hidden="false" customHeight="true" outlineLevel="0" collapsed="false">
      <c r="A6" s="14" t="s">
        <v>283</v>
      </c>
      <c r="B6" s="27" t="s">
        <v>48</v>
      </c>
      <c r="C6" s="28" t="s">
        <v>48</v>
      </c>
      <c r="D6" s="28" t="s">
        <v>48</v>
      </c>
      <c r="E6" s="28" t="s">
        <v>48</v>
      </c>
      <c r="F6" s="28" t="s">
        <v>48</v>
      </c>
      <c r="G6" s="28" t="s">
        <v>62</v>
      </c>
      <c r="H6" s="28" t="s">
        <v>284</v>
      </c>
    </row>
    <row r="7" customFormat="false" ht="16.5" hidden="false" customHeight="true" outlineLevel="0" collapsed="false">
      <c r="A7" s="14" t="s">
        <v>285</v>
      </c>
      <c r="B7" s="27" t="s">
        <v>48</v>
      </c>
      <c r="C7" s="28"/>
      <c r="D7" s="28"/>
      <c r="E7" s="28"/>
      <c r="F7" s="28"/>
      <c r="G7" s="28" t="s">
        <v>62</v>
      </c>
      <c r="H7" s="28" t="s">
        <v>62</v>
      </c>
    </row>
    <row r="8" customFormat="false" ht="16.5" hidden="false" customHeight="true" outlineLevel="0" collapsed="false">
      <c r="A8" s="14" t="s">
        <v>286</v>
      </c>
      <c r="B8" s="27" t="s">
        <v>48</v>
      </c>
      <c r="C8" s="28" t="s">
        <v>62</v>
      </c>
      <c r="D8" s="28" t="s">
        <v>62</v>
      </c>
      <c r="E8" s="28" t="s">
        <v>48</v>
      </c>
      <c r="F8" s="28" t="s">
        <v>62</v>
      </c>
      <c r="G8" s="28" t="s">
        <v>62</v>
      </c>
      <c r="H8" s="28" t="s">
        <v>62</v>
      </c>
    </row>
    <row r="9" customFormat="false" ht="16.5" hidden="false" customHeight="true" outlineLevel="0" collapsed="false">
      <c r="A9" s="14" t="s">
        <v>287</v>
      </c>
      <c r="B9" s="27" t="s">
        <v>48</v>
      </c>
      <c r="C9" s="28" t="s">
        <v>48</v>
      </c>
      <c r="D9" s="28" t="s">
        <v>48</v>
      </c>
      <c r="E9" s="28" t="s">
        <v>48</v>
      </c>
      <c r="F9" s="28" t="s">
        <v>62</v>
      </c>
      <c r="G9" s="28" t="s">
        <v>48</v>
      </c>
      <c r="H9" s="28" t="s">
        <v>48</v>
      </c>
    </row>
    <row r="10" customFormat="false" ht="16.5" hidden="false" customHeight="true" outlineLevel="0" collapsed="false">
      <c r="A10" s="14" t="s">
        <v>288</v>
      </c>
      <c r="B10" s="27" t="s">
        <v>48</v>
      </c>
      <c r="C10" s="28" t="s">
        <v>48</v>
      </c>
      <c r="D10" s="28"/>
      <c r="E10" s="28" t="s">
        <v>48</v>
      </c>
      <c r="F10" s="28" t="s">
        <v>62</v>
      </c>
      <c r="G10" s="28" t="s">
        <v>48</v>
      </c>
      <c r="H10" s="28" t="s">
        <v>48</v>
      </c>
    </row>
    <row r="11" customFormat="false" ht="16.5" hidden="false" customHeight="true" outlineLevel="0" collapsed="false">
      <c r="A11" s="14" t="s">
        <v>289</v>
      </c>
      <c r="B11" s="27" t="s">
        <v>48</v>
      </c>
      <c r="C11" s="28" t="s">
        <v>48</v>
      </c>
      <c r="D11" s="28"/>
      <c r="E11" s="28" t="s">
        <v>48</v>
      </c>
      <c r="F11" s="28" t="s">
        <v>62</v>
      </c>
      <c r="G11" s="28" t="s">
        <v>48</v>
      </c>
      <c r="H11" s="28" t="s">
        <v>48</v>
      </c>
    </row>
    <row r="12" customFormat="false" ht="16.5" hidden="false" customHeight="true" outlineLevel="0" collapsed="false">
      <c r="A12" s="14" t="s">
        <v>290</v>
      </c>
      <c r="B12" s="27" t="s">
        <v>62</v>
      </c>
      <c r="C12" s="28" t="s">
        <v>48</v>
      </c>
      <c r="D12" s="28"/>
      <c r="E12" s="28"/>
      <c r="F12" s="28" t="s">
        <v>62</v>
      </c>
      <c r="G12" s="28" t="s">
        <v>48</v>
      </c>
      <c r="H12" s="28" t="s">
        <v>48</v>
      </c>
    </row>
    <row r="13" customFormat="false" ht="16.5" hidden="false" customHeight="true" outlineLevel="0" collapsed="false">
      <c r="A13" s="14" t="s">
        <v>291</v>
      </c>
      <c r="B13" s="27" t="s">
        <v>48</v>
      </c>
      <c r="C13" s="28" t="s">
        <v>48</v>
      </c>
      <c r="D13" s="28"/>
      <c r="E13" s="28" t="s">
        <v>48</v>
      </c>
      <c r="F13" s="28" t="s">
        <v>48</v>
      </c>
      <c r="G13" s="28" t="s">
        <v>48</v>
      </c>
      <c r="H13" s="28" t="s">
        <v>48</v>
      </c>
    </row>
    <row r="14" customFormat="false" ht="16.5" hidden="false" customHeight="true" outlineLevel="0" collapsed="false">
      <c r="A14" s="14" t="s">
        <v>292</v>
      </c>
      <c r="B14" s="27" t="s">
        <v>48</v>
      </c>
      <c r="C14" s="28"/>
      <c r="D14" s="28"/>
      <c r="E14" s="28" t="s">
        <v>48</v>
      </c>
      <c r="F14" s="28" t="s">
        <v>48</v>
      </c>
      <c r="G14" s="28"/>
      <c r="H14" s="28"/>
    </row>
    <row r="15" customFormat="false" ht="16.5" hidden="false" customHeight="true" outlineLevel="0" collapsed="false">
      <c r="A15" s="14" t="s">
        <v>293</v>
      </c>
      <c r="B15" s="27" t="s">
        <v>48</v>
      </c>
      <c r="C15" s="28" t="s">
        <v>48</v>
      </c>
      <c r="D15" s="28" t="s">
        <v>48</v>
      </c>
      <c r="E15" s="28" t="s">
        <v>48</v>
      </c>
      <c r="F15" s="28" t="s">
        <v>48</v>
      </c>
      <c r="G15" s="28" t="s">
        <v>48</v>
      </c>
      <c r="H15" s="28" t="s">
        <v>48</v>
      </c>
    </row>
    <row r="16" customFormat="false" ht="16.5" hidden="false" customHeight="true" outlineLevel="0" collapsed="false">
      <c r="A16" s="14" t="s">
        <v>294</v>
      </c>
      <c r="B16" s="27" t="s">
        <v>48</v>
      </c>
      <c r="C16" s="28"/>
      <c r="D16" s="28"/>
      <c r="E16" s="28" t="s">
        <v>48</v>
      </c>
      <c r="F16" s="28" t="s">
        <v>48</v>
      </c>
      <c r="G16" s="28"/>
      <c r="H16" s="28"/>
    </row>
    <row r="17" customFormat="false" ht="16.5" hidden="false" customHeight="true" outlineLevel="0" collapsed="false">
      <c r="A17" s="14" t="s">
        <v>295</v>
      </c>
      <c r="B17" s="27" t="s">
        <v>48</v>
      </c>
      <c r="C17" s="28" t="s">
        <v>48</v>
      </c>
      <c r="D17" s="28"/>
      <c r="E17" s="28" t="s">
        <v>48</v>
      </c>
      <c r="F17" s="28"/>
      <c r="G17" s="28" t="s">
        <v>62</v>
      </c>
      <c r="H17" s="28" t="s">
        <v>62</v>
      </c>
    </row>
    <row r="18" customFormat="false" ht="16.5" hidden="false" customHeight="true" outlineLevel="0" collapsed="false">
      <c r="A18" s="14" t="s">
        <v>296</v>
      </c>
      <c r="B18" s="27" t="s">
        <v>48</v>
      </c>
      <c r="C18" s="28"/>
      <c r="D18" s="28"/>
      <c r="E18" s="28" t="s">
        <v>48</v>
      </c>
      <c r="F18" s="28"/>
      <c r="G18" s="28" t="s">
        <v>62</v>
      </c>
      <c r="H18" s="28" t="s">
        <v>62</v>
      </c>
    </row>
    <row r="19" customFormat="false" ht="16.5" hidden="false" customHeight="true" outlineLevel="0" collapsed="false">
      <c r="A19" s="14" t="s">
        <v>297</v>
      </c>
      <c r="B19" s="27" t="s">
        <v>48</v>
      </c>
      <c r="C19" s="28" t="s">
        <v>48</v>
      </c>
      <c r="D19" s="28"/>
      <c r="E19" s="28" t="s">
        <v>48</v>
      </c>
      <c r="F19" s="28" t="s">
        <v>48</v>
      </c>
      <c r="G19" s="28" t="s">
        <v>62</v>
      </c>
      <c r="H19" s="28" t="s">
        <v>62</v>
      </c>
    </row>
    <row r="20" customFormat="false" ht="16.5" hidden="false" customHeight="true" outlineLevel="0" collapsed="false">
      <c r="A20" s="14" t="s">
        <v>298</v>
      </c>
      <c r="B20" s="27" t="s">
        <v>48</v>
      </c>
      <c r="C20" s="28" t="s">
        <v>62</v>
      </c>
      <c r="D20" s="28"/>
      <c r="E20" s="28"/>
      <c r="F20" s="28" t="s">
        <v>62</v>
      </c>
      <c r="G20" s="28"/>
      <c r="H20" s="28"/>
    </row>
    <row r="21" customFormat="false" ht="16.5" hidden="false" customHeight="true" outlineLevel="0" collapsed="false">
      <c r="A21" s="14" t="s">
        <v>299</v>
      </c>
      <c r="B21" s="27" t="s">
        <v>48</v>
      </c>
      <c r="C21" s="28" t="s">
        <v>48</v>
      </c>
      <c r="D21" s="28"/>
      <c r="E21" s="28" t="s">
        <v>48</v>
      </c>
      <c r="F21" s="28" t="s">
        <v>62</v>
      </c>
      <c r="G21" s="28"/>
      <c r="H21" s="28"/>
    </row>
    <row r="22" customFormat="false" ht="16.5" hidden="false" customHeight="true" outlineLevel="0" collapsed="false">
      <c r="A22" s="14" t="s">
        <v>300</v>
      </c>
      <c r="B22" s="27" t="s">
        <v>48</v>
      </c>
      <c r="C22" s="28" t="s">
        <v>62</v>
      </c>
      <c r="D22" s="28"/>
      <c r="E22" s="28"/>
      <c r="F22" s="28" t="s">
        <v>62</v>
      </c>
      <c r="G22" s="28"/>
      <c r="H22" s="28"/>
    </row>
    <row r="23" customFormat="false" ht="16.5" hidden="false" customHeight="true" outlineLevel="0" collapsed="false">
      <c r="A23" s="14" t="s">
        <v>301</v>
      </c>
      <c r="B23" s="27" t="s">
        <v>48</v>
      </c>
      <c r="C23" s="28" t="s">
        <v>302</v>
      </c>
      <c r="D23" s="28"/>
      <c r="E23" s="28" t="s">
        <v>48</v>
      </c>
      <c r="F23" s="28"/>
      <c r="G23" s="28" t="s">
        <v>62</v>
      </c>
      <c r="H23" s="28" t="s">
        <v>62</v>
      </c>
    </row>
    <row r="24" customFormat="false" ht="16.5" hidden="false" customHeight="true" outlineLevel="0" collapsed="false">
      <c r="A24" s="14" t="s">
        <v>303</v>
      </c>
      <c r="B24" s="27" t="s">
        <v>62</v>
      </c>
      <c r="C24" s="28" t="s">
        <v>48</v>
      </c>
      <c r="D24" s="28"/>
      <c r="E24" s="28"/>
      <c r="F24" s="28" t="s">
        <v>62</v>
      </c>
      <c r="G24" s="28" t="s">
        <v>48</v>
      </c>
      <c r="H24" s="28" t="s">
        <v>48</v>
      </c>
    </row>
    <row r="25" customFormat="false" ht="16.5" hidden="false" customHeight="true" outlineLevel="0" collapsed="false">
      <c r="A25" s="14" t="s">
        <v>304</v>
      </c>
      <c r="B25" s="27"/>
      <c r="C25" s="28" t="s">
        <v>48</v>
      </c>
      <c r="D25" s="28" t="s">
        <v>48</v>
      </c>
      <c r="E25" s="28"/>
      <c r="F25" s="28" t="s">
        <v>62</v>
      </c>
      <c r="G25" s="28"/>
      <c r="H25" s="28"/>
    </row>
    <row r="26" customFormat="false" ht="16.5" hidden="false" customHeight="true" outlineLevel="0" collapsed="false">
      <c r="A26" s="14" t="s">
        <v>305</v>
      </c>
      <c r="B26" s="27" t="s">
        <v>48</v>
      </c>
      <c r="C26" s="28" t="s">
        <v>48</v>
      </c>
      <c r="D26" s="28"/>
      <c r="E26" s="28" t="s">
        <v>48</v>
      </c>
      <c r="F26" s="28" t="s">
        <v>48</v>
      </c>
      <c r="G26" s="28" t="s">
        <v>48</v>
      </c>
      <c r="H26" s="28" t="s">
        <v>48</v>
      </c>
    </row>
    <row r="27" customFormat="false" ht="16.5" hidden="false" customHeight="true" outlineLevel="0" collapsed="false">
      <c r="A27" s="14" t="s">
        <v>32</v>
      </c>
      <c r="B27" s="27" t="s">
        <v>48</v>
      </c>
      <c r="C27" s="28" t="s">
        <v>48</v>
      </c>
      <c r="D27" s="28" t="s">
        <v>62</v>
      </c>
      <c r="E27" s="28" t="s">
        <v>48</v>
      </c>
      <c r="F27" s="28" t="s">
        <v>48</v>
      </c>
      <c r="G27" s="28" t="s">
        <v>48</v>
      </c>
      <c r="H27" s="28" t="s">
        <v>62</v>
      </c>
    </row>
    <row r="28" customFormat="false" ht="16.5" hidden="false" customHeight="true" outlineLevel="0" collapsed="false">
      <c r="A28" s="14" t="s">
        <v>306</v>
      </c>
      <c r="B28" s="27" t="s">
        <v>62</v>
      </c>
      <c r="C28" s="28" t="s">
        <v>48</v>
      </c>
      <c r="D28" s="28" t="s">
        <v>62</v>
      </c>
      <c r="E28" s="28" t="s">
        <v>48</v>
      </c>
      <c r="F28" s="28" t="s">
        <v>48</v>
      </c>
      <c r="G28" s="28" t="s">
        <v>62</v>
      </c>
      <c r="H28" s="28" t="s">
        <v>62</v>
      </c>
    </row>
    <row r="30" customFormat="false" ht="15" hidden="false" customHeight="true" outlineLevel="0" collapsed="false">
      <c r="A30" s="26" t="s">
        <v>307</v>
      </c>
      <c r="B30" s="26"/>
      <c r="C30" s="26"/>
      <c r="D30" s="26"/>
      <c r="E30" s="26"/>
      <c r="F30" s="26"/>
      <c r="G30" s="26"/>
      <c r="H30" s="26"/>
    </row>
    <row r="31" customFormat="false" ht="15" hidden="false" customHeight="false" outlineLevel="0" collapsed="false">
      <c r="A31" s="26"/>
      <c r="B31" s="26"/>
      <c r="C31" s="26"/>
      <c r="D31" s="26"/>
      <c r="E31" s="26"/>
      <c r="F31" s="26"/>
      <c r="G31" s="26"/>
      <c r="H31" s="26"/>
    </row>
    <row r="32" customFormat="false" ht="15" hidden="false" customHeight="false" outlineLevel="0" collapsed="false">
      <c r="A32" s="26"/>
      <c r="B32" s="26"/>
      <c r="C32" s="26"/>
      <c r="D32" s="26"/>
      <c r="E32" s="26"/>
      <c r="F32" s="26"/>
      <c r="G32" s="26"/>
      <c r="H32" s="26"/>
    </row>
  </sheetData>
  <mergeCells count="1">
    <mergeCell ref="A30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2026-08-22T23:05:04Z</dcterms:created>
  <dc:creator>openpyxl</dc:creator>
  <dc:description/>
  <dc:language>en-US</dc:language>
  <cp:lastModifiedBy/>
  <dcterms:modified xsi:type="dcterms:W3CDTF">2026-08-22T23:05:04Z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